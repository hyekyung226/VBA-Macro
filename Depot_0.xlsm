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.WBS\Lecture\Spreadsheet Modelling\Workshop\103018\"/>
    </mc:Choice>
  </mc:AlternateContent>
  <bookViews>
    <workbookView xWindow="360" yWindow="300" windowWidth="9135" windowHeight="4755"/>
  </bookViews>
  <sheets>
    <sheet name="Main" sheetId="1" r:id="rId1"/>
    <sheet name="Demand" sheetId="2" r:id="rId2"/>
  </sheets>
  <definedNames>
    <definedName name="demand">Demand!$A$2:$B$4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62913"/>
</workbook>
</file>

<file path=xl/calcChain.xml><?xml version="1.0" encoding="utf-8"?>
<calcChain xmlns="http://schemas.openxmlformats.org/spreadsheetml/2006/main">
  <c r="C10" i="1" l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D51" i="1" s="1"/>
  <c r="C52" i="1"/>
  <c r="D52" i="1" s="1"/>
  <c r="C53" i="1"/>
  <c r="D53" i="1" s="1"/>
  <c r="C54" i="1"/>
  <c r="D54" i="1" s="1"/>
  <c r="C55" i="1"/>
  <c r="D55" i="1" s="1"/>
  <c r="C56" i="1"/>
  <c r="D56" i="1" s="1"/>
  <c r="C57" i="1"/>
  <c r="D57" i="1" s="1"/>
  <c r="C58" i="1"/>
  <c r="D58" i="1" s="1"/>
  <c r="C9" i="1"/>
  <c r="D9" i="1" s="1"/>
  <c r="B9" i="1" l="1"/>
  <c r="E9" i="1" s="1"/>
  <c r="G9" i="1" s="1"/>
  <c r="I9" i="1" s="1"/>
  <c r="F9" i="1"/>
  <c r="J9" i="1" l="1"/>
  <c r="K9" i="1" s="1"/>
  <c r="B10" i="1"/>
  <c r="H9" i="1"/>
  <c r="B5" i="2"/>
  <c r="C2" i="2"/>
  <c r="C5" i="2" s="1"/>
  <c r="C3" i="2"/>
  <c r="C4" i="2"/>
  <c r="L9" i="1" l="1"/>
  <c r="E10" i="1"/>
  <c r="F10" i="1"/>
  <c r="G10" i="1" l="1"/>
  <c r="J10" i="1"/>
  <c r="K10" i="1" s="1"/>
  <c r="H10" i="1" l="1"/>
  <c r="L10" i="1" s="1"/>
  <c r="I10" i="1"/>
  <c r="B11" i="1" s="1"/>
  <c r="E11" i="1" l="1"/>
  <c r="G11" i="1" s="1"/>
  <c r="F11" i="1"/>
  <c r="J11" i="1" l="1"/>
  <c r="K11" i="1" s="1"/>
  <c r="I11" i="1"/>
  <c r="B12" i="1" s="1"/>
  <c r="H11" i="1"/>
  <c r="L11" i="1" l="1"/>
  <c r="F12" i="1"/>
  <c r="E12" i="1"/>
  <c r="G12" i="1" s="1"/>
  <c r="H12" i="1" l="1"/>
  <c r="I12" i="1"/>
  <c r="B13" i="1" s="1"/>
  <c r="J12" i="1"/>
  <c r="K12" i="1" s="1"/>
  <c r="E13" i="1" l="1"/>
  <c r="F13" i="1"/>
  <c r="L12" i="1"/>
  <c r="G13" i="1" l="1"/>
  <c r="J13" i="1"/>
  <c r="K13" i="1" s="1"/>
  <c r="I13" i="1" l="1"/>
  <c r="B14" i="1" s="1"/>
  <c r="H13" i="1"/>
  <c r="L13" i="1" s="1"/>
  <c r="F14" i="1" l="1"/>
  <c r="E14" i="1"/>
  <c r="J14" i="1" l="1"/>
  <c r="K14" i="1" s="1"/>
  <c r="G14" i="1"/>
  <c r="H14" i="1" l="1"/>
  <c r="L14" i="1" s="1"/>
  <c r="I14" i="1"/>
  <c r="B15" i="1" s="1"/>
  <c r="F15" i="1" l="1"/>
  <c r="E15" i="1"/>
  <c r="G15" i="1" s="1"/>
  <c r="H15" i="1" s="1"/>
  <c r="I15" i="1" l="1"/>
  <c r="B16" i="1" s="1"/>
  <c r="E16" i="1" s="1"/>
  <c r="G16" i="1" s="1"/>
  <c r="I16" i="1" s="1"/>
  <c r="B17" i="1" s="1"/>
  <c r="J15" i="1"/>
  <c r="K15" i="1" s="1"/>
  <c r="L15" i="1" s="1"/>
  <c r="F16" i="1" l="1"/>
  <c r="H16" i="1"/>
  <c r="J16" i="1"/>
  <c r="K16" i="1" s="1"/>
  <c r="E17" i="1"/>
  <c r="F17" i="1"/>
  <c r="L16" i="1" l="1"/>
  <c r="G17" i="1"/>
  <c r="J17" i="1"/>
  <c r="K17" i="1" s="1"/>
  <c r="H17" i="1" l="1"/>
  <c r="L17" i="1" s="1"/>
  <c r="I17" i="1"/>
  <c r="B18" i="1" s="1"/>
  <c r="E18" i="1" l="1"/>
  <c r="F18" i="1"/>
  <c r="G18" i="1" l="1"/>
  <c r="J18" i="1"/>
  <c r="K18" i="1" s="1"/>
  <c r="H18" i="1" l="1"/>
  <c r="L18" i="1" s="1"/>
  <c r="I18" i="1"/>
  <c r="B19" i="1" s="1"/>
  <c r="E19" i="1" l="1"/>
  <c r="J19" i="1" s="1"/>
  <c r="K19" i="1" s="1"/>
  <c r="F19" i="1"/>
  <c r="G19" i="1" l="1"/>
  <c r="H19" i="1" l="1"/>
  <c r="L19" i="1" s="1"/>
  <c r="I19" i="1"/>
  <c r="B20" i="1" s="1"/>
  <c r="F20" i="1" l="1"/>
  <c r="E20" i="1"/>
  <c r="J20" i="1" s="1"/>
  <c r="K20" i="1" s="1"/>
  <c r="G20" i="1" l="1"/>
  <c r="I20" i="1" l="1"/>
  <c r="B21" i="1" s="1"/>
  <c r="H20" i="1"/>
  <c r="L20" i="1" s="1"/>
  <c r="E21" i="1" l="1"/>
  <c r="F21" i="1"/>
  <c r="G21" i="1" l="1"/>
  <c r="J21" i="1"/>
  <c r="K21" i="1" s="1"/>
  <c r="H21" i="1" l="1"/>
  <c r="L21" i="1" s="1"/>
  <c r="I21" i="1"/>
  <c r="B22" i="1" s="1"/>
  <c r="E22" i="1" l="1"/>
  <c r="F22" i="1"/>
  <c r="G22" i="1" l="1"/>
  <c r="J22" i="1"/>
  <c r="K22" i="1" s="1"/>
  <c r="H22" i="1" l="1"/>
  <c r="L22" i="1" s="1"/>
  <c r="I22" i="1"/>
  <c r="B23" i="1" s="1"/>
  <c r="E23" i="1" l="1"/>
  <c r="J23" i="1" s="1"/>
  <c r="K23" i="1" s="1"/>
  <c r="F23" i="1"/>
  <c r="G23" i="1" l="1"/>
  <c r="H23" i="1" l="1"/>
  <c r="L23" i="1" s="1"/>
  <c r="I23" i="1"/>
  <c r="B24" i="1" s="1"/>
  <c r="E24" i="1" l="1"/>
  <c r="J24" i="1" s="1"/>
  <c r="K24" i="1" s="1"/>
  <c r="F24" i="1"/>
  <c r="G24" i="1" l="1"/>
  <c r="I24" i="1" l="1"/>
  <c r="B25" i="1" s="1"/>
  <c r="H24" i="1"/>
  <c r="L24" i="1" s="1"/>
  <c r="F25" i="1" l="1"/>
  <c r="E25" i="1"/>
  <c r="G25" i="1" l="1"/>
  <c r="J25" i="1"/>
  <c r="K25" i="1" s="1"/>
  <c r="H25" i="1" l="1"/>
  <c r="L25" i="1" s="1"/>
  <c r="I25" i="1"/>
  <c r="B26" i="1" s="1"/>
  <c r="E26" i="1" l="1"/>
  <c r="J26" i="1" s="1"/>
  <c r="K26" i="1" s="1"/>
  <c r="F26" i="1"/>
  <c r="G26" i="1" l="1"/>
  <c r="I26" i="1" l="1"/>
  <c r="B27" i="1" s="1"/>
  <c r="H26" i="1"/>
  <c r="L26" i="1" s="1"/>
  <c r="F27" i="1" l="1"/>
  <c r="E27" i="1"/>
  <c r="G27" i="1" l="1"/>
  <c r="J27" i="1"/>
  <c r="K27" i="1" s="1"/>
  <c r="H27" i="1" l="1"/>
  <c r="L27" i="1" s="1"/>
  <c r="I27" i="1"/>
  <c r="B28" i="1" s="1"/>
  <c r="E28" i="1" l="1"/>
  <c r="J28" i="1" s="1"/>
  <c r="K28" i="1" s="1"/>
  <c r="F28" i="1"/>
  <c r="G28" i="1" l="1"/>
  <c r="H28" i="1" l="1"/>
  <c r="L28" i="1" s="1"/>
  <c r="I28" i="1"/>
  <c r="B29" i="1" s="1"/>
  <c r="E29" i="1" l="1"/>
  <c r="J29" i="1" s="1"/>
  <c r="K29" i="1" s="1"/>
  <c r="F29" i="1"/>
  <c r="G29" i="1" l="1"/>
  <c r="I29" i="1" l="1"/>
  <c r="B30" i="1" s="1"/>
  <c r="H29" i="1"/>
  <c r="L29" i="1" s="1"/>
  <c r="E30" i="1" l="1"/>
  <c r="F30" i="1"/>
  <c r="G30" i="1" l="1"/>
  <c r="J30" i="1"/>
  <c r="K30" i="1" s="1"/>
  <c r="H30" i="1" l="1"/>
  <c r="L30" i="1" s="1"/>
  <c r="I30" i="1"/>
  <c r="B31" i="1" s="1"/>
  <c r="E31" i="1" l="1"/>
  <c r="J31" i="1" s="1"/>
  <c r="K31" i="1" s="1"/>
  <c r="F31" i="1"/>
  <c r="G31" i="1" l="1"/>
  <c r="H31" i="1" l="1"/>
  <c r="L31" i="1" s="1"/>
  <c r="I31" i="1"/>
  <c r="B32" i="1" s="1"/>
  <c r="E32" i="1" l="1"/>
  <c r="J32" i="1" s="1"/>
  <c r="K32" i="1" s="1"/>
  <c r="F32" i="1"/>
  <c r="G32" i="1" l="1"/>
  <c r="I32" i="1" l="1"/>
  <c r="B33" i="1" s="1"/>
  <c r="H32" i="1"/>
  <c r="L32" i="1" s="1"/>
  <c r="F33" i="1" l="1"/>
  <c r="E33" i="1"/>
  <c r="G33" i="1" l="1"/>
  <c r="J33" i="1"/>
  <c r="K33" i="1" s="1"/>
  <c r="H33" i="1" l="1"/>
  <c r="L33" i="1" s="1"/>
  <c r="I33" i="1"/>
  <c r="B34" i="1" s="1"/>
  <c r="E34" i="1" l="1"/>
  <c r="J34" i="1" s="1"/>
  <c r="K34" i="1" s="1"/>
  <c r="F34" i="1"/>
  <c r="G34" i="1" l="1"/>
  <c r="H34" i="1" l="1"/>
  <c r="L34" i="1" s="1"/>
  <c r="I34" i="1"/>
  <c r="B35" i="1" s="1"/>
  <c r="E35" i="1" l="1"/>
  <c r="J35" i="1" s="1"/>
  <c r="K35" i="1" s="1"/>
  <c r="F35" i="1"/>
  <c r="G35" i="1" l="1"/>
  <c r="H35" i="1" l="1"/>
  <c r="L35" i="1" s="1"/>
  <c r="I35" i="1"/>
  <c r="B36" i="1" s="1"/>
  <c r="E36" i="1" l="1"/>
  <c r="J36" i="1" s="1"/>
  <c r="K36" i="1" s="1"/>
  <c r="F36" i="1"/>
  <c r="G36" i="1" l="1"/>
  <c r="H36" i="1" l="1"/>
  <c r="L36" i="1" s="1"/>
  <c r="I36" i="1"/>
  <c r="B37" i="1" s="1"/>
  <c r="E37" i="1" l="1"/>
  <c r="J37" i="1" s="1"/>
  <c r="K37" i="1" s="1"/>
  <c r="F37" i="1"/>
  <c r="G37" i="1" l="1"/>
  <c r="H37" i="1" l="1"/>
  <c r="L37" i="1" s="1"/>
  <c r="I37" i="1"/>
  <c r="B38" i="1" s="1"/>
  <c r="F38" i="1" l="1"/>
  <c r="E38" i="1"/>
  <c r="G38" i="1" l="1"/>
  <c r="J38" i="1"/>
  <c r="K38" i="1" s="1"/>
  <c r="H38" i="1" l="1"/>
  <c r="L38" i="1" s="1"/>
  <c r="I38" i="1"/>
  <c r="B39" i="1" s="1"/>
  <c r="F39" i="1" l="1"/>
  <c r="E39" i="1"/>
  <c r="J39" i="1" s="1"/>
  <c r="K39" i="1" s="1"/>
  <c r="G39" i="1" l="1"/>
  <c r="H39" i="1" l="1"/>
  <c r="L39" i="1" s="1"/>
  <c r="I39" i="1"/>
  <c r="B40" i="1" s="1"/>
  <c r="E40" i="1" l="1"/>
  <c r="F40" i="1"/>
  <c r="G40" i="1" l="1"/>
  <c r="J40" i="1"/>
  <c r="K40" i="1" s="1"/>
  <c r="H40" i="1" l="1"/>
  <c r="L40" i="1" s="1"/>
  <c r="I40" i="1"/>
  <c r="B41" i="1" s="1"/>
  <c r="E41" i="1" l="1"/>
  <c r="J41" i="1" s="1"/>
  <c r="K41" i="1" s="1"/>
  <c r="F41" i="1"/>
  <c r="G41" i="1" l="1"/>
  <c r="H41" i="1" l="1"/>
  <c r="L41" i="1" s="1"/>
  <c r="I41" i="1"/>
  <c r="B42" i="1" s="1"/>
  <c r="E42" i="1" l="1"/>
  <c r="J42" i="1" s="1"/>
  <c r="K42" i="1" s="1"/>
  <c r="F42" i="1"/>
  <c r="G42" i="1" l="1"/>
  <c r="H42" i="1" l="1"/>
  <c r="L42" i="1" s="1"/>
  <c r="I42" i="1"/>
  <c r="B43" i="1" s="1"/>
  <c r="F43" i="1" l="1"/>
  <c r="E43" i="1"/>
  <c r="J43" i="1" s="1"/>
  <c r="K43" i="1" s="1"/>
  <c r="G43" i="1" l="1"/>
  <c r="H43" i="1" l="1"/>
  <c r="L43" i="1" s="1"/>
  <c r="I43" i="1"/>
  <c r="B44" i="1" s="1"/>
  <c r="E44" i="1" l="1"/>
  <c r="J44" i="1" s="1"/>
  <c r="K44" i="1" s="1"/>
  <c r="F44" i="1"/>
  <c r="G44" i="1" l="1"/>
  <c r="H44" i="1" l="1"/>
  <c r="L44" i="1" s="1"/>
  <c r="I44" i="1"/>
  <c r="B45" i="1" s="1"/>
  <c r="E45" i="1" l="1"/>
  <c r="F45" i="1"/>
  <c r="G45" i="1" l="1"/>
  <c r="J45" i="1"/>
  <c r="K45" i="1" s="1"/>
  <c r="I45" i="1" l="1"/>
  <c r="B46" i="1" s="1"/>
  <c r="H45" i="1"/>
  <c r="L45" i="1" s="1"/>
  <c r="E46" i="1" l="1"/>
  <c r="J46" i="1" s="1"/>
  <c r="K46" i="1" s="1"/>
  <c r="F46" i="1"/>
  <c r="G46" i="1" l="1"/>
  <c r="H46" i="1" l="1"/>
  <c r="L46" i="1" s="1"/>
  <c r="I46" i="1"/>
  <c r="B47" i="1" s="1"/>
  <c r="E47" i="1" l="1"/>
  <c r="J47" i="1" s="1"/>
  <c r="K47" i="1" s="1"/>
  <c r="F47" i="1"/>
  <c r="G47" i="1" l="1"/>
  <c r="H47" i="1" l="1"/>
  <c r="L47" i="1" s="1"/>
  <c r="I47" i="1"/>
  <c r="B48" i="1" s="1"/>
  <c r="E48" i="1" l="1"/>
  <c r="F48" i="1"/>
  <c r="G48" i="1" l="1"/>
  <c r="J48" i="1"/>
  <c r="K48" i="1" s="1"/>
  <c r="H48" i="1" l="1"/>
  <c r="L48" i="1" s="1"/>
  <c r="I48" i="1"/>
  <c r="B49" i="1" s="1"/>
  <c r="E49" i="1" l="1"/>
  <c r="J49" i="1" s="1"/>
  <c r="K49" i="1" s="1"/>
  <c r="F49" i="1"/>
  <c r="G49" i="1" l="1"/>
  <c r="H49" i="1" l="1"/>
  <c r="L49" i="1" s="1"/>
  <c r="I49" i="1"/>
  <c r="B50" i="1" s="1"/>
  <c r="E50" i="1" l="1"/>
  <c r="F50" i="1"/>
  <c r="G50" i="1" l="1"/>
  <c r="J50" i="1"/>
  <c r="K50" i="1" s="1"/>
  <c r="I50" i="1" l="1"/>
  <c r="B51" i="1" s="1"/>
  <c r="H50" i="1"/>
  <c r="L50" i="1" s="1"/>
  <c r="F51" i="1" l="1"/>
  <c r="E51" i="1"/>
  <c r="G51" i="1" l="1"/>
  <c r="J51" i="1"/>
  <c r="K51" i="1" s="1"/>
  <c r="H51" i="1" l="1"/>
  <c r="L51" i="1" s="1"/>
  <c r="I51" i="1"/>
  <c r="B52" i="1" s="1"/>
  <c r="E52" i="1" l="1"/>
  <c r="J52" i="1" s="1"/>
  <c r="K52" i="1" s="1"/>
  <c r="F52" i="1"/>
  <c r="G52" i="1" l="1"/>
  <c r="H52" i="1" l="1"/>
  <c r="L52" i="1" s="1"/>
  <c r="I52" i="1"/>
  <c r="B53" i="1" s="1"/>
  <c r="E53" i="1" l="1"/>
  <c r="J53" i="1" s="1"/>
  <c r="K53" i="1" s="1"/>
  <c r="F53" i="1"/>
  <c r="G53" i="1" l="1"/>
  <c r="H53" i="1" l="1"/>
  <c r="L53" i="1" s="1"/>
  <c r="I53" i="1"/>
  <c r="B54" i="1" s="1"/>
  <c r="E54" i="1" l="1"/>
  <c r="J54" i="1" s="1"/>
  <c r="K54" i="1" s="1"/>
  <c r="F54" i="1"/>
  <c r="G54" i="1" l="1"/>
  <c r="H54" i="1" l="1"/>
  <c r="L54" i="1" s="1"/>
  <c r="I54" i="1"/>
  <c r="B55" i="1" s="1"/>
  <c r="F55" i="1" l="1"/>
  <c r="E55" i="1"/>
  <c r="G55" i="1" l="1"/>
  <c r="J55" i="1"/>
  <c r="K55" i="1" s="1"/>
  <c r="H55" i="1" l="1"/>
  <c r="L55" i="1" s="1"/>
  <c r="I55" i="1"/>
  <c r="B56" i="1" s="1"/>
  <c r="F56" i="1" l="1"/>
  <c r="E56" i="1"/>
  <c r="G56" i="1" l="1"/>
  <c r="J56" i="1"/>
  <c r="K56" i="1" s="1"/>
  <c r="H56" i="1" l="1"/>
  <c r="L56" i="1" s="1"/>
  <c r="I56" i="1"/>
  <c r="B57" i="1" s="1"/>
  <c r="F57" i="1" l="1"/>
  <c r="E57" i="1"/>
  <c r="J57" i="1" s="1"/>
  <c r="K57" i="1" s="1"/>
  <c r="G57" i="1" l="1"/>
  <c r="H57" i="1" l="1"/>
  <c r="L57" i="1" s="1"/>
  <c r="I57" i="1"/>
  <c r="B58" i="1" s="1"/>
  <c r="E58" i="1" l="1"/>
  <c r="G58" i="1" s="1"/>
  <c r="F58" i="1"/>
  <c r="F60" i="1" s="1"/>
  <c r="H58" i="1" l="1"/>
  <c r="H60" i="1" s="1"/>
  <c r="I58" i="1"/>
  <c r="J58" i="1"/>
  <c r="K58" i="1" s="1"/>
  <c r="K60" i="1" s="1"/>
  <c r="L58" i="1" l="1"/>
  <c r="L7" i="1" s="1"/>
  <c r="L60" i="1" l="1"/>
</calcChain>
</file>

<file path=xl/sharedStrings.xml><?xml version="1.0" encoding="utf-8"?>
<sst xmlns="http://schemas.openxmlformats.org/spreadsheetml/2006/main" count="36" uniqueCount="26">
  <si>
    <t>Week</t>
  </si>
  <si>
    <t>Number</t>
  </si>
  <si>
    <t>Demand</t>
  </si>
  <si>
    <t>Stock</t>
  </si>
  <si>
    <t>Safety /</t>
  </si>
  <si>
    <t>Order</t>
  </si>
  <si>
    <t>Average</t>
  </si>
  <si>
    <t>Storage</t>
  </si>
  <si>
    <t>Total</t>
  </si>
  <si>
    <t>at</t>
  </si>
  <si>
    <t xml:space="preserve">-out </t>
  </si>
  <si>
    <t>re-order</t>
  </si>
  <si>
    <t>Costs</t>
  </si>
  <si>
    <t>delivery</t>
  </si>
  <si>
    <t>Start</t>
  </si>
  <si>
    <t>quantity</t>
  </si>
  <si>
    <t>in stock</t>
  </si>
  <si>
    <t>Probability</t>
  </si>
  <si>
    <t>Expect</t>
  </si>
  <si>
    <t>level:</t>
  </si>
  <si>
    <t>Re-order?</t>
  </si>
  <si>
    <t xml:space="preserve">Re-order </t>
  </si>
  <si>
    <t>Inventory management simulation</t>
  </si>
  <si>
    <t>Parameters --&gt;</t>
  </si>
  <si>
    <t>End</t>
  </si>
  <si>
    <t>Demand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</si>
</sst>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sz val="8"/>
      <name val="Arial"/>
      <family val="2"/>
    </font>
    <font>
      <b/>
      <i/>
      <sz val="12"/>
      <color indexed="12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Fill="1"/>
    <xf numFmtId="0" fontId="0" fillId="0" borderId="0" xfId="0" applyFill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/>
    <xf numFmtId="0" fontId="7" fillId="0" borderId="0" xfId="0" applyFont="1" applyFill="1" applyAlignment="1">
      <alignment horizontal="left"/>
    </xf>
    <xf numFmtId="0" fontId="8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5" fillId="3" borderId="1" xfId="0" applyFont="1" applyFill="1" applyBorder="1"/>
    <xf numFmtId="0" fontId="5" fillId="3" borderId="2" xfId="0" applyFont="1" applyFill="1" applyBorder="1"/>
    <xf numFmtId="0" fontId="5" fillId="4" borderId="3" xfId="0" applyFont="1" applyFill="1" applyBorder="1"/>
    <xf numFmtId="0" fontId="1" fillId="0" borderId="0" xfId="0" applyFont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5" fillId="3" borderId="7" xfId="0" applyFont="1" applyFill="1" applyBorder="1"/>
    <xf numFmtId="1" fontId="10" fillId="3" borderId="7" xfId="0" applyNumberFormat="1" applyFont="1" applyFill="1" applyBorder="1" applyAlignment="1">
      <alignment horizontal="center"/>
    </xf>
    <xf numFmtId="9" fontId="0" fillId="3" borderId="2" xfId="1" applyFont="1" applyFill="1" applyBorder="1" applyAlignment="1">
      <alignment horizontal="center"/>
    </xf>
    <xf numFmtId="9" fontId="0" fillId="3" borderId="8" xfId="1" applyFont="1" applyFill="1" applyBorder="1" applyAlignment="1">
      <alignment horizontal="center"/>
    </xf>
    <xf numFmtId="0" fontId="5" fillId="3" borderId="0" xfId="0" applyFont="1" applyFill="1" applyBorder="1"/>
    <xf numFmtId="9" fontId="0" fillId="3" borderId="0" xfId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8</xdr:row>
          <xdr:rowOff>57150</xdr:rowOff>
        </xdr:from>
        <xdr:to>
          <xdr:col>15</xdr:col>
          <xdr:colOff>476250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F1C6772-B877-4999-8630-863AAA471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Random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8</xdr:row>
          <xdr:rowOff>171450</xdr:rowOff>
        </xdr:from>
        <xdr:to>
          <xdr:col>19</xdr:col>
          <xdr:colOff>123825</xdr:colOff>
          <xdr:row>13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58E09F1-2F1D-49C1-9D80-CBDE788D4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17</xdr:row>
          <xdr:rowOff>114300</xdr:rowOff>
        </xdr:from>
        <xdr:to>
          <xdr:col>18</xdr:col>
          <xdr:colOff>581025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number with 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68"/>
  <sheetViews>
    <sheetView tabSelected="1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9" sqref="D9:D58"/>
    </sheetView>
  </sheetViews>
  <sheetFormatPr defaultColWidth="9.140625" defaultRowHeight="12.75" x14ac:dyDescent="0.2"/>
  <cols>
    <col min="1" max="1" width="17.28515625" style="12" customWidth="1"/>
    <col min="2" max="3" width="17.28515625" style="6" customWidth="1"/>
    <col min="4" max="4" width="11" style="6" bestFit="1" customWidth="1"/>
    <col min="5" max="6" width="9.140625" style="6"/>
    <col min="7" max="7" width="10.85546875" style="6" customWidth="1"/>
    <col min="8" max="8" width="9.140625" style="6"/>
    <col min="9" max="9" width="11.42578125" style="6" customWidth="1"/>
    <col min="10" max="11" width="9.140625" style="6"/>
    <col min="12" max="12" width="9.7109375" style="6" bestFit="1" customWidth="1"/>
    <col min="13" max="16384" width="9.140625" style="2"/>
  </cols>
  <sheetData>
    <row r="1" spans="1:13" ht="18" x14ac:dyDescent="0.25">
      <c r="A1" s="9" t="s">
        <v>22</v>
      </c>
      <c r="B1" s="3"/>
      <c r="C1" s="3"/>
      <c r="D1" s="3"/>
      <c r="E1"/>
      <c r="F1" s="3"/>
      <c r="G1" s="4"/>
      <c r="H1" s="3"/>
      <c r="I1" s="3"/>
      <c r="J1" s="3"/>
      <c r="K1" s="3"/>
      <c r="L1" s="3"/>
      <c r="M1" s="1"/>
    </row>
    <row r="2" spans="1:13" ht="16.5" thickBot="1" x14ac:dyDescent="0.3">
      <c r="A2" s="10"/>
      <c r="B2" s="3"/>
      <c r="C2" s="3"/>
      <c r="D2" s="3"/>
      <c r="E2"/>
      <c r="F2" s="3"/>
      <c r="G2" s="3"/>
      <c r="H2" s="3"/>
      <c r="I2" s="3"/>
      <c r="J2" s="3"/>
      <c r="K2" s="3"/>
      <c r="L2" s="3"/>
      <c r="M2" s="1"/>
    </row>
    <row r="3" spans="1:13" s="8" customFormat="1" ht="15" x14ac:dyDescent="0.25">
      <c r="A3" s="11" t="s">
        <v>0</v>
      </c>
      <c r="B3" s="7" t="s">
        <v>1</v>
      </c>
      <c r="D3" s="7" t="s">
        <v>25</v>
      </c>
      <c r="E3" s="7" t="s">
        <v>1</v>
      </c>
      <c r="F3" s="7" t="s">
        <v>3</v>
      </c>
      <c r="G3" s="7" t="s">
        <v>4</v>
      </c>
      <c r="H3" s="7" t="s">
        <v>5</v>
      </c>
      <c r="I3" s="29" t="s">
        <v>21</v>
      </c>
      <c r="J3" s="7" t="s">
        <v>6</v>
      </c>
      <c r="K3" s="7" t="s">
        <v>7</v>
      </c>
      <c r="L3" s="7" t="s">
        <v>8</v>
      </c>
    </row>
    <row r="4" spans="1:13" s="8" customFormat="1" ht="15" x14ac:dyDescent="0.25">
      <c r="A4" s="11" t="s">
        <v>1</v>
      </c>
      <c r="B4" s="7" t="s">
        <v>9</v>
      </c>
      <c r="C4" s="7"/>
      <c r="D4" s="7"/>
      <c r="E4" s="7" t="s">
        <v>9</v>
      </c>
      <c r="F4" s="7" t="s">
        <v>10</v>
      </c>
      <c r="G4" s="7" t="s">
        <v>11</v>
      </c>
      <c r="H4" s="7" t="s">
        <v>12</v>
      </c>
      <c r="I4" s="30" t="s">
        <v>13</v>
      </c>
      <c r="J4" s="7" t="s">
        <v>1</v>
      </c>
      <c r="K4" s="7" t="s">
        <v>12</v>
      </c>
      <c r="L4" s="7" t="s">
        <v>12</v>
      </c>
    </row>
    <row r="5" spans="1:13" s="8" customFormat="1" ht="15" x14ac:dyDescent="0.25">
      <c r="A5" s="11"/>
      <c r="B5" s="7" t="s">
        <v>14</v>
      </c>
      <c r="C5" s="7"/>
      <c r="D5" s="7"/>
      <c r="E5" s="7" t="s">
        <v>24</v>
      </c>
      <c r="F5" s="7" t="s">
        <v>12</v>
      </c>
      <c r="G5" s="7" t="s">
        <v>19</v>
      </c>
      <c r="H5" s="7"/>
      <c r="I5" s="30" t="s">
        <v>15</v>
      </c>
      <c r="J5" s="7" t="s">
        <v>16</v>
      </c>
      <c r="K5" s="7"/>
      <c r="L5" s="7"/>
    </row>
    <row r="6" spans="1:13" ht="16.5" thickBot="1" x14ac:dyDescent="0.3">
      <c r="A6" s="10"/>
      <c r="B6" s="3"/>
      <c r="C6" s="3"/>
      <c r="D6" s="3"/>
      <c r="E6"/>
      <c r="F6" s="3"/>
      <c r="G6" s="3" t="s">
        <v>20</v>
      </c>
      <c r="H6" s="3"/>
      <c r="I6" s="31"/>
      <c r="J6" s="3"/>
      <c r="K6" s="3"/>
      <c r="L6" s="3"/>
      <c r="M6" s="1"/>
    </row>
    <row r="7" spans="1:13" ht="16.5" thickBot="1" x14ac:dyDescent="0.3">
      <c r="A7" s="33" t="s">
        <v>23</v>
      </c>
      <c r="B7" s="22">
        <v>500</v>
      </c>
      <c r="C7" s="22"/>
      <c r="D7" s="22"/>
      <c r="E7" s="22"/>
      <c r="F7" s="22">
        <v>8</v>
      </c>
      <c r="G7" s="22">
        <v>500</v>
      </c>
      <c r="H7" s="22">
        <v>250</v>
      </c>
      <c r="I7" s="32">
        <v>200</v>
      </c>
      <c r="J7" s="27"/>
      <c r="K7" s="22">
        <v>2</v>
      </c>
      <c r="L7" s="35">
        <f ca="1">AVERAGE(L9:L58)</f>
        <v>1440</v>
      </c>
      <c r="M7" s="8"/>
    </row>
    <row r="8" spans="1:13" ht="15.75" x14ac:dyDescent="0.25">
      <c r="A8" s="10"/>
      <c r="B8" s="3"/>
      <c r="C8" s="3"/>
      <c r="D8" s="3"/>
      <c r="E8"/>
      <c r="F8" s="3"/>
      <c r="G8" s="3"/>
      <c r="H8" s="3"/>
      <c r="I8" s="28"/>
      <c r="J8" s="3"/>
      <c r="K8" s="3"/>
      <c r="L8" s="28"/>
      <c r="M8" s="1"/>
    </row>
    <row r="9" spans="1:13" ht="15.75" x14ac:dyDescent="0.25">
      <c r="A9" s="10">
        <v>1</v>
      </c>
      <c r="B9" s="6">
        <f>B7</f>
        <v>500</v>
      </c>
      <c r="C9">
        <f ca="1">RAND()</f>
        <v>0.77999532160781859</v>
      </c>
      <c r="D9">
        <f ca="1">VLOOKUP(C9,$N$18:$O$21,2,1)</f>
        <v>400</v>
      </c>
      <c r="E9">
        <f ca="1">IF(B9-D9&gt;0,B9-D9,0)</f>
        <v>100</v>
      </c>
      <c r="F9" s="3">
        <f ca="1">IF(D9&lt;B9,0,(D9-B9)*F$7)</f>
        <v>0</v>
      </c>
      <c r="G9" s="3">
        <f ca="1">IF(E9&lt;=G$7,1,0)</f>
        <v>1</v>
      </c>
      <c r="H9" s="3">
        <f ca="1">G9*H$7</f>
        <v>250</v>
      </c>
      <c r="I9" s="3">
        <f ca="1">G9*I$7</f>
        <v>200</v>
      </c>
      <c r="J9" s="3">
        <f ca="1">(B9+E9)/2</f>
        <v>300</v>
      </c>
      <c r="K9" s="3">
        <f ca="1">J9*K$7</f>
        <v>600</v>
      </c>
      <c r="L9" s="5">
        <f ca="1">F9+H9+K9</f>
        <v>850</v>
      </c>
      <c r="M9" s="1"/>
    </row>
    <row r="10" spans="1:13" ht="15.75" x14ac:dyDescent="0.25">
      <c r="A10" s="10">
        <v>2</v>
      </c>
      <c r="B10" s="6">
        <f ca="1">E9+I9</f>
        <v>300</v>
      </c>
      <c r="C10">
        <f t="shared" ref="C10:C58" ca="1" si="0">RAND()</f>
        <v>8.3332511149902921E-2</v>
      </c>
      <c r="D10">
        <f t="shared" ref="D10:D58" ca="1" si="1">VLOOKUP(C10,$N$18:$O$21,2,1)</f>
        <v>200</v>
      </c>
      <c r="E10">
        <f ca="1">IF(B10-D10&gt;0,B10-D10,0)</f>
        <v>100</v>
      </c>
      <c r="F10" s="3">
        <f ca="1">IF(D10&lt;B10,0,(D10-B10)*F$7)</f>
        <v>0</v>
      </c>
      <c r="G10" s="3">
        <f t="shared" ref="G10:G58" ca="1" si="2">IF(E10&lt;G$7,1,0)</f>
        <v>1</v>
      </c>
      <c r="H10" s="3">
        <f t="shared" ref="H10:H58" ca="1" si="3">G10*H$7</f>
        <v>250</v>
      </c>
      <c r="I10" s="3">
        <f t="shared" ref="I10:I58" ca="1" si="4">G10*I$7</f>
        <v>200</v>
      </c>
      <c r="J10" s="3">
        <f ca="1">(B10+E10)/2</f>
        <v>200</v>
      </c>
      <c r="K10" s="3">
        <f t="shared" ref="K10:K58" ca="1" si="5">J10*K$7</f>
        <v>400</v>
      </c>
      <c r="L10" s="5">
        <f t="shared" ref="L10:L58" ca="1" si="6">F10+H10+K10</f>
        <v>650</v>
      </c>
      <c r="M10" s="1"/>
    </row>
    <row r="11" spans="1:13" ht="15.75" x14ac:dyDescent="0.25">
      <c r="A11" s="10">
        <v>3</v>
      </c>
      <c r="B11" s="6">
        <f t="shared" ref="B11:B58" ca="1" si="7">E10+I10</f>
        <v>300</v>
      </c>
      <c r="C11">
        <f t="shared" ca="1" si="0"/>
        <v>0.53841642065784112</v>
      </c>
      <c r="D11">
        <f t="shared" ca="1" si="1"/>
        <v>300</v>
      </c>
      <c r="E11">
        <f ca="1">IF(B11-D11&gt;0,B11-D11,0)</f>
        <v>0</v>
      </c>
      <c r="F11" s="3">
        <f ca="1">IF(D11&lt;B11,0,(D11-B11)*F$7)</f>
        <v>0</v>
      </c>
      <c r="G11" s="3">
        <f t="shared" ca="1" si="2"/>
        <v>1</v>
      </c>
      <c r="H11" s="3">
        <f t="shared" ca="1" si="3"/>
        <v>250</v>
      </c>
      <c r="I11" s="3">
        <f t="shared" ca="1" si="4"/>
        <v>200</v>
      </c>
      <c r="J11" s="3">
        <f ca="1">(B11+E11)/2</f>
        <v>150</v>
      </c>
      <c r="K11" s="3">
        <f t="shared" ca="1" si="5"/>
        <v>300</v>
      </c>
      <c r="L11" s="5">
        <f t="shared" ca="1" si="6"/>
        <v>550</v>
      </c>
      <c r="M11" s="1"/>
    </row>
    <row r="12" spans="1:13" ht="15.75" x14ac:dyDescent="0.25">
      <c r="A12" s="10">
        <v>4</v>
      </c>
      <c r="B12" s="6">
        <f t="shared" ca="1" si="7"/>
        <v>200</v>
      </c>
      <c r="C12">
        <f t="shared" ca="1" si="0"/>
        <v>0.98999268806799956</v>
      </c>
      <c r="D12">
        <f t="shared" ca="1" si="1"/>
        <v>400</v>
      </c>
      <c r="E12">
        <f ca="1">IF(B12-D12&gt;0,B12-D12,0)</f>
        <v>0</v>
      </c>
      <c r="F12" s="3">
        <f ca="1">IF(D12&lt;B12,0,(D12-B12)*F$7)</f>
        <v>1600</v>
      </c>
      <c r="G12" s="3">
        <f t="shared" ca="1" si="2"/>
        <v>1</v>
      </c>
      <c r="H12" s="3">
        <f t="shared" ca="1" si="3"/>
        <v>250</v>
      </c>
      <c r="I12" s="3">
        <f t="shared" ca="1" si="4"/>
        <v>200</v>
      </c>
      <c r="J12" s="3">
        <f ca="1">(B12+E12)/2</f>
        <v>100</v>
      </c>
      <c r="K12" s="3">
        <f t="shared" ca="1" si="5"/>
        <v>200</v>
      </c>
      <c r="L12" s="5">
        <f t="shared" ca="1" si="6"/>
        <v>2050</v>
      </c>
      <c r="M12" s="1"/>
    </row>
    <row r="13" spans="1:13" ht="15.75" x14ac:dyDescent="0.25">
      <c r="A13" s="10">
        <v>5</v>
      </c>
      <c r="B13" s="6">
        <f t="shared" ca="1" si="7"/>
        <v>200</v>
      </c>
      <c r="C13">
        <f t="shared" ca="1" si="0"/>
        <v>0.50747220204548815</v>
      </c>
      <c r="D13">
        <f t="shared" ca="1" si="1"/>
        <v>300</v>
      </c>
      <c r="E13">
        <f ca="1">IF(B13-D13&gt;0,B13-D13,0)</f>
        <v>0</v>
      </c>
      <c r="F13" s="3">
        <f ca="1">IF(D13&lt;B13,0,(D13-B13)*F$7)</f>
        <v>800</v>
      </c>
      <c r="G13" s="3">
        <f t="shared" ca="1" si="2"/>
        <v>1</v>
      </c>
      <c r="H13" s="3">
        <f t="shared" ca="1" si="3"/>
        <v>250</v>
      </c>
      <c r="I13" s="3">
        <f t="shared" ca="1" si="4"/>
        <v>200</v>
      </c>
      <c r="J13" s="3">
        <f ca="1">(B13+E13)/2</f>
        <v>100</v>
      </c>
      <c r="K13" s="3">
        <f t="shared" ca="1" si="5"/>
        <v>200</v>
      </c>
      <c r="L13" s="5">
        <f t="shared" ca="1" si="6"/>
        <v>1250</v>
      </c>
      <c r="M13" s="1"/>
    </row>
    <row r="14" spans="1:13" ht="15.75" x14ac:dyDescent="0.25">
      <c r="A14" s="10">
        <v>6</v>
      </c>
      <c r="B14" s="6">
        <f t="shared" ca="1" si="7"/>
        <v>200</v>
      </c>
      <c r="C14">
        <f t="shared" ca="1" si="0"/>
        <v>0.26564113748437701</v>
      </c>
      <c r="D14">
        <f t="shared" ca="1" si="1"/>
        <v>300</v>
      </c>
      <c r="E14">
        <f ca="1">IF(B14-D14&gt;0,B14-D14,0)</f>
        <v>0</v>
      </c>
      <c r="F14" s="3">
        <f ca="1">IF(D14&lt;B14,0,(D14-B14)*F$7)</f>
        <v>800</v>
      </c>
      <c r="G14" s="3">
        <f t="shared" ca="1" si="2"/>
        <v>1</v>
      </c>
      <c r="H14" s="3">
        <f t="shared" ca="1" si="3"/>
        <v>250</v>
      </c>
      <c r="I14" s="3">
        <f t="shared" ca="1" si="4"/>
        <v>200</v>
      </c>
      <c r="J14" s="3">
        <f ca="1">(B14+E14)/2</f>
        <v>100</v>
      </c>
      <c r="K14" s="3">
        <f t="shared" ca="1" si="5"/>
        <v>200</v>
      </c>
      <c r="L14" s="5">
        <f t="shared" ca="1" si="6"/>
        <v>1250</v>
      </c>
      <c r="M14" s="1"/>
    </row>
    <row r="15" spans="1:13" ht="15.75" x14ac:dyDescent="0.25">
      <c r="A15" s="10">
        <v>7</v>
      </c>
      <c r="B15" s="6">
        <f t="shared" ca="1" si="7"/>
        <v>200</v>
      </c>
      <c r="C15">
        <f t="shared" ca="1" si="0"/>
        <v>0.73944418558461367</v>
      </c>
      <c r="D15">
        <f t="shared" ca="1" si="1"/>
        <v>400</v>
      </c>
      <c r="E15">
        <f ca="1">IF(B15-D15&gt;0,B15-D15,0)</f>
        <v>0</v>
      </c>
      <c r="F15" s="3">
        <f ca="1">IF(D15&lt;B15,0,(D15-B15)*F$7)</f>
        <v>1600</v>
      </c>
      <c r="G15" s="3">
        <f t="shared" ca="1" si="2"/>
        <v>1</v>
      </c>
      <c r="H15" s="3">
        <f t="shared" ca="1" si="3"/>
        <v>250</v>
      </c>
      <c r="I15" s="3">
        <f t="shared" ca="1" si="4"/>
        <v>200</v>
      </c>
      <c r="J15" s="3">
        <f ca="1">(B15+E15)/2</f>
        <v>100</v>
      </c>
      <c r="K15" s="3">
        <f t="shared" ca="1" si="5"/>
        <v>200</v>
      </c>
      <c r="L15" s="5">
        <f t="shared" ca="1" si="6"/>
        <v>2050</v>
      </c>
      <c r="M15" s="1"/>
    </row>
    <row r="16" spans="1:13" ht="15.75" x14ac:dyDescent="0.25">
      <c r="A16" s="10">
        <v>8</v>
      </c>
      <c r="B16" s="6">
        <f t="shared" ca="1" si="7"/>
        <v>200</v>
      </c>
      <c r="C16">
        <f t="shared" ca="1" si="0"/>
        <v>0.82120305407224747</v>
      </c>
      <c r="D16">
        <f t="shared" ca="1" si="1"/>
        <v>400</v>
      </c>
      <c r="E16">
        <f ca="1">IF(B16-D16&gt;0,B16-D16,0)</f>
        <v>0</v>
      </c>
      <c r="F16" s="3">
        <f ca="1">IF(D16&lt;B16,0,(D16-B16)*F$7)</f>
        <v>1600</v>
      </c>
      <c r="G16" s="3">
        <f t="shared" ca="1" si="2"/>
        <v>1</v>
      </c>
      <c r="H16" s="3">
        <f t="shared" ca="1" si="3"/>
        <v>250</v>
      </c>
      <c r="I16" s="3">
        <f t="shared" ca="1" si="4"/>
        <v>200</v>
      </c>
      <c r="J16" s="3">
        <f ca="1">(B16+E16)/2</f>
        <v>100</v>
      </c>
      <c r="K16" s="3">
        <f t="shared" ca="1" si="5"/>
        <v>200</v>
      </c>
      <c r="L16" s="5">
        <f t="shared" ca="1" si="6"/>
        <v>2050</v>
      </c>
      <c r="M16" s="1"/>
    </row>
    <row r="17" spans="1:15" ht="15.75" x14ac:dyDescent="0.25">
      <c r="A17" s="10">
        <v>9</v>
      </c>
      <c r="B17" s="6">
        <f t="shared" ca="1" si="7"/>
        <v>200</v>
      </c>
      <c r="C17">
        <f t="shared" ca="1" si="0"/>
        <v>0.3778879352122092</v>
      </c>
      <c r="D17">
        <f t="shared" ca="1" si="1"/>
        <v>300</v>
      </c>
      <c r="E17">
        <f ca="1">IF(B17-D17&gt;0,B17-D17,0)</f>
        <v>0</v>
      </c>
      <c r="F17" s="3">
        <f ca="1">IF(D17&lt;B17,0,(D17-B17)*F$7)</f>
        <v>800</v>
      </c>
      <c r="G17" s="3">
        <f t="shared" ca="1" si="2"/>
        <v>1</v>
      </c>
      <c r="H17" s="3">
        <f t="shared" ca="1" si="3"/>
        <v>250</v>
      </c>
      <c r="I17" s="3">
        <f t="shared" ca="1" si="4"/>
        <v>200</v>
      </c>
      <c r="J17" s="3">
        <f ca="1">(B17+E17)/2</f>
        <v>100</v>
      </c>
      <c r="K17" s="3">
        <f t="shared" ca="1" si="5"/>
        <v>200</v>
      </c>
      <c r="L17" s="5">
        <f t="shared" ca="1" si="6"/>
        <v>1250</v>
      </c>
      <c r="M17" s="1"/>
    </row>
    <row r="18" spans="1:15" ht="15.75" x14ac:dyDescent="0.25">
      <c r="A18" s="10">
        <v>10</v>
      </c>
      <c r="B18" s="6">
        <f t="shared" ca="1" si="7"/>
        <v>200</v>
      </c>
      <c r="C18">
        <f t="shared" ca="1" si="0"/>
        <v>0.94616237775495582</v>
      </c>
      <c r="D18">
        <f t="shared" ca="1" si="1"/>
        <v>400</v>
      </c>
      <c r="E18">
        <f ca="1">IF(B18-D18&gt;0,B18-D18,0)</f>
        <v>0</v>
      </c>
      <c r="F18" s="3">
        <f ca="1">IF(D18&lt;B18,0,(D18-B18)*F$7)</f>
        <v>1600</v>
      </c>
      <c r="G18" s="3">
        <f t="shared" ca="1" si="2"/>
        <v>1</v>
      </c>
      <c r="H18" s="3">
        <f t="shared" ca="1" si="3"/>
        <v>250</v>
      </c>
      <c r="I18" s="3">
        <f t="shared" ca="1" si="4"/>
        <v>200</v>
      </c>
      <c r="J18" s="3">
        <f ca="1">(B18+E18)/2</f>
        <v>100</v>
      </c>
      <c r="K18" s="3">
        <f t="shared" ca="1" si="5"/>
        <v>200</v>
      </c>
      <c r="L18" s="5">
        <f t="shared" ca="1" si="6"/>
        <v>2050</v>
      </c>
      <c r="M18" s="1"/>
      <c r="N18" s="2">
        <v>0</v>
      </c>
      <c r="O18" s="2">
        <v>200</v>
      </c>
    </row>
    <row r="19" spans="1:15" ht="15.75" x14ac:dyDescent="0.25">
      <c r="A19" s="10">
        <v>11</v>
      </c>
      <c r="B19" s="6">
        <f t="shared" ca="1" si="7"/>
        <v>200</v>
      </c>
      <c r="C19">
        <f t="shared" ca="1" si="0"/>
        <v>0.81029940203460338</v>
      </c>
      <c r="D19">
        <f t="shared" ca="1" si="1"/>
        <v>400</v>
      </c>
      <c r="E19">
        <f ca="1">IF(B19-D19&gt;0,B19-D19,0)</f>
        <v>0</v>
      </c>
      <c r="F19" s="3">
        <f ca="1">IF(D19&lt;B19,0,(D19-B19)*F$7)</f>
        <v>1600</v>
      </c>
      <c r="G19" s="3">
        <f t="shared" ca="1" si="2"/>
        <v>1</v>
      </c>
      <c r="H19" s="3">
        <f t="shared" ca="1" si="3"/>
        <v>250</v>
      </c>
      <c r="I19" s="3">
        <f t="shared" ca="1" si="4"/>
        <v>200</v>
      </c>
      <c r="J19" s="3">
        <f ca="1">(B19+E19)/2</f>
        <v>100</v>
      </c>
      <c r="K19" s="3">
        <f t="shared" ca="1" si="5"/>
        <v>200</v>
      </c>
      <c r="L19" s="5">
        <f t="shared" ca="1" si="6"/>
        <v>2050</v>
      </c>
      <c r="M19" s="1"/>
      <c r="N19" s="2">
        <v>0.1</v>
      </c>
      <c r="O19" s="2">
        <v>300</v>
      </c>
    </row>
    <row r="20" spans="1:15" ht="15.75" x14ac:dyDescent="0.25">
      <c r="A20" s="10">
        <v>12</v>
      </c>
      <c r="B20" s="6">
        <f t="shared" ca="1" si="7"/>
        <v>200</v>
      </c>
      <c r="C20">
        <f t="shared" ca="1" si="0"/>
        <v>0.35939591325488829</v>
      </c>
      <c r="D20">
        <f t="shared" ca="1" si="1"/>
        <v>300</v>
      </c>
      <c r="E20">
        <f ca="1">IF(B20-D20&gt;0,B20-D20,0)</f>
        <v>0</v>
      </c>
      <c r="F20" s="3">
        <f ca="1">IF(D20&lt;B20,0,(D20-B20)*F$7)</f>
        <v>800</v>
      </c>
      <c r="G20" s="3">
        <f t="shared" ca="1" si="2"/>
        <v>1</v>
      </c>
      <c r="H20" s="3">
        <f t="shared" ca="1" si="3"/>
        <v>250</v>
      </c>
      <c r="I20" s="3">
        <f t="shared" ca="1" si="4"/>
        <v>200</v>
      </c>
      <c r="J20" s="3">
        <f ca="1">(B20+E20)/2</f>
        <v>100</v>
      </c>
      <c r="K20" s="3">
        <f t="shared" ca="1" si="5"/>
        <v>200</v>
      </c>
      <c r="L20" s="5">
        <f t="shared" ca="1" si="6"/>
        <v>1250</v>
      </c>
      <c r="M20" s="1"/>
      <c r="N20" s="2">
        <v>0.7</v>
      </c>
      <c r="O20" s="2">
        <v>400</v>
      </c>
    </row>
    <row r="21" spans="1:15" ht="15.75" x14ac:dyDescent="0.25">
      <c r="A21" s="10">
        <v>13</v>
      </c>
      <c r="B21" s="6">
        <f t="shared" ca="1" si="7"/>
        <v>200</v>
      </c>
      <c r="C21">
        <f t="shared" ca="1" si="0"/>
        <v>0.30813372725129251</v>
      </c>
      <c r="D21">
        <f t="shared" ca="1" si="1"/>
        <v>300</v>
      </c>
      <c r="E21">
        <f ca="1">IF(B21-D21&gt;0,B21-D21,0)</f>
        <v>0</v>
      </c>
      <c r="F21" s="3">
        <f ca="1">IF(D21&lt;B21,0,(D21-B21)*F$7)</f>
        <v>800</v>
      </c>
      <c r="G21" s="3">
        <f t="shared" ca="1" si="2"/>
        <v>1</v>
      </c>
      <c r="H21" s="3">
        <f t="shared" ca="1" si="3"/>
        <v>250</v>
      </c>
      <c r="I21" s="3">
        <f t="shared" ca="1" si="4"/>
        <v>200</v>
      </c>
      <c r="J21" s="3">
        <f ca="1">(B21+E21)/2</f>
        <v>100</v>
      </c>
      <c r="K21" s="3">
        <f t="shared" ca="1" si="5"/>
        <v>200</v>
      </c>
      <c r="L21" s="5">
        <f t="shared" ca="1" si="6"/>
        <v>1250</v>
      </c>
      <c r="M21" s="1"/>
      <c r="N21" s="2">
        <v>1</v>
      </c>
    </row>
    <row r="22" spans="1:15" ht="15.75" x14ac:dyDescent="0.25">
      <c r="A22" s="10">
        <v>14</v>
      </c>
      <c r="B22" s="6">
        <f t="shared" ca="1" si="7"/>
        <v>200</v>
      </c>
      <c r="C22">
        <f t="shared" ca="1" si="0"/>
        <v>0.40994365580814485</v>
      </c>
      <c r="D22">
        <f t="shared" ca="1" si="1"/>
        <v>300</v>
      </c>
      <c r="E22">
        <f ca="1">IF(B22-D22&gt;0,B22-D22,0)</f>
        <v>0</v>
      </c>
      <c r="F22" s="3">
        <f ca="1">IF(D22&lt;B22,0,(D22-B22)*F$7)</f>
        <v>800</v>
      </c>
      <c r="G22" s="3">
        <f t="shared" ca="1" si="2"/>
        <v>1</v>
      </c>
      <c r="H22" s="3">
        <f t="shared" ca="1" si="3"/>
        <v>250</v>
      </c>
      <c r="I22" s="3">
        <f t="shared" ca="1" si="4"/>
        <v>200</v>
      </c>
      <c r="J22" s="3">
        <f ca="1">(B22+E22)/2</f>
        <v>100</v>
      </c>
      <c r="K22" s="3">
        <f t="shared" ca="1" si="5"/>
        <v>200</v>
      </c>
      <c r="L22" s="5">
        <f t="shared" ca="1" si="6"/>
        <v>1250</v>
      </c>
      <c r="M22" s="1"/>
    </row>
    <row r="23" spans="1:15" ht="15.75" x14ac:dyDescent="0.25">
      <c r="A23" s="10">
        <v>15</v>
      </c>
      <c r="B23" s="6">
        <f t="shared" ca="1" si="7"/>
        <v>200</v>
      </c>
      <c r="C23">
        <f t="shared" ca="1" si="0"/>
        <v>0.40777661165513557</v>
      </c>
      <c r="D23">
        <f t="shared" ca="1" si="1"/>
        <v>300</v>
      </c>
      <c r="E23">
        <f ca="1">IF(B23-D23&gt;0,B23-D23,0)</f>
        <v>0</v>
      </c>
      <c r="F23" s="3">
        <f ca="1">IF(D23&lt;B23,0,(D23-B23)*F$7)</f>
        <v>800</v>
      </c>
      <c r="G23" s="3">
        <f t="shared" ca="1" si="2"/>
        <v>1</v>
      </c>
      <c r="H23" s="3">
        <f t="shared" ca="1" si="3"/>
        <v>250</v>
      </c>
      <c r="I23" s="3">
        <f t="shared" ca="1" si="4"/>
        <v>200</v>
      </c>
      <c r="J23" s="3">
        <f ca="1">(B23+E23)/2</f>
        <v>100</v>
      </c>
      <c r="K23" s="3">
        <f t="shared" ca="1" si="5"/>
        <v>200</v>
      </c>
      <c r="L23" s="5">
        <f t="shared" ca="1" si="6"/>
        <v>1250</v>
      </c>
      <c r="M23" s="1"/>
    </row>
    <row r="24" spans="1:15" ht="15.75" x14ac:dyDescent="0.25">
      <c r="A24" s="10">
        <v>16</v>
      </c>
      <c r="B24" s="6">
        <f t="shared" ca="1" si="7"/>
        <v>200</v>
      </c>
      <c r="C24">
        <f t="shared" ca="1" si="0"/>
        <v>0.19395161224624269</v>
      </c>
      <c r="D24">
        <f t="shared" ca="1" si="1"/>
        <v>300</v>
      </c>
      <c r="E24">
        <f ca="1">IF(B24-D24&gt;0,B24-D24,0)</f>
        <v>0</v>
      </c>
      <c r="F24" s="3">
        <f ca="1">IF(D24&lt;B24,0,(D24-B24)*F$7)</f>
        <v>800</v>
      </c>
      <c r="G24" s="3">
        <f t="shared" ca="1" si="2"/>
        <v>1</v>
      </c>
      <c r="H24" s="3">
        <f t="shared" ca="1" si="3"/>
        <v>250</v>
      </c>
      <c r="I24" s="3">
        <f t="shared" ca="1" si="4"/>
        <v>200</v>
      </c>
      <c r="J24" s="3">
        <f ca="1">(B24+E24)/2</f>
        <v>100</v>
      </c>
      <c r="K24" s="3">
        <f t="shared" ca="1" si="5"/>
        <v>200</v>
      </c>
      <c r="L24" s="5">
        <f t="shared" ca="1" si="6"/>
        <v>1250</v>
      </c>
      <c r="M24" s="1"/>
    </row>
    <row r="25" spans="1:15" ht="15.75" x14ac:dyDescent="0.25">
      <c r="A25" s="10">
        <v>17</v>
      </c>
      <c r="B25" s="6">
        <f t="shared" ca="1" si="7"/>
        <v>200</v>
      </c>
      <c r="C25">
        <f t="shared" ca="1" si="0"/>
        <v>0.43537834824959154</v>
      </c>
      <c r="D25">
        <f t="shared" ca="1" si="1"/>
        <v>300</v>
      </c>
      <c r="E25">
        <f ca="1">IF(B25-D25&gt;0,B25-D25,0)</f>
        <v>0</v>
      </c>
      <c r="F25" s="3">
        <f ca="1">IF(D25&lt;B25,0,(D25-B25)*F$7)</f>
        <v>800</v>
      </c>
      <c r="G25" s="3">
        <f t="shared" ca="1" si="2"/>
        <v>1</v>
      </c>
      <c r="H25" s="3">
        <f t="shared" ca="1" si="3"/>
        <v>250</v>
      </c>
      <c r="I25" s="3">
        <f t="shared" ca="1" si="4"/>
        <v>200</v>
      </c>
      <c r="J25" s="3">
        <f ca="1">(B25+E25)/2</f>
        <v>100</v>
      </c>
      <c r="K25" s="3">
        <f t="shared" ca="1" si="5"/>
        <v>200</v>
      </c>
      <c r="L25" s="5">
        <f t="shared" ca="1" si="6"/>
        <v>1250</v>
      </c>
      <c r="M25" s="1"/>
    </row>
    <row r="26" spans="1:15" ht="15.75" x14ac:dyDescent="0.25">
      <c r="A26" s="10">
        <v>18</v>
      </c>
      <c r="B26" s="6">
        <f t="shared" ca="1" si="7"/>
        <v>200</v>
      </c>
      <c r="C26">
        <f t="shared" ca="1" si="0"/>
        <v>0.58781009326566458</v>
      </c>
      <c r="D26">
        <f t="shared" ca="1" si="1"/>
        <v>300</v>
      </c>
      <c r="E26">
        <f ca="1">IF(B26-D26&gt;0,B26-D26,0)</f>
        <v>0</v>
      </c>
      <c r="F26" s="3">
        <f ca="1">IF(D26&lt;B26,0,(D26-B26)*F$7)</f>
        <v>800</v>
      </c>
      <c r="G26" s="3">
        <f t="shared" ca="1" si="2"/>
        <v>1</v>
      </c>
      <c r="H26" s="3">
        <f t="shared" ca="1" si="3"/>
        <v>250</v>
      </c>
      <c r="I26" s="3">
        <f t="shared" ca="1" si="4"/>
        <v>200</v>
      </c>
      <c r="J26" s="3">
        <f ca="1">(B26+E26)/2</f>
        <v>100</v>
      </c>
      <c r="K26" s="3">
        <f t="shared" ca="1" si="5"/>
        <v>200</v>
      </c>
      <c r="L26" s="5">
        <f t="shared" ca="1" si="6"/>
        <v>1250</v>
      </c>
      <c r="M26" s="1"/>
    </row>
    <row r="27" spans="1:15" ht="15.75" x14ac:dyDescent="0.25">
      <c r="A27" s="10">
        <v>19</v>
      </c>
      <c r="B27" s="6">
        <f t="shared" ca="1" si="7"/>
        <v>200</v>
      </c>
      <c r="C27">
        <f t="shared" ca="1" si="0"/>
        <v>0.7106375044485983</v>
      </c>
      <c r="D27">
        <f t="shared" ca="1" si="1"/>
        <v>400</v>
      </c>
      <c r="E27">
        <f ca="1">IF(B27-D27&gt;0,B27-D27,0)</f>
        <v>0</v>
      </c>
      <c r="F27" s="3">
        <f ca="1">IF(D27&lt;B27,0,(D27-B27)*F$7)</f>
        <v>1600</v>
      </c>
      <c r="G27" s="3">
        <f t="shared" ca="1" si="2"/>
        <v>1</v>
      </c>
      <c r="H27" s="3">
        <f t="shared" ca="1" si="3"/>
        <v>250</v>
      </c>
      <c r="I27" s="3">
        <f t="shared" ca="1" si="4"/>
        <v>200</v>
      </c>
      <c r="J27" s="3">
        <f ca="1">(B27+E27)/2</f>
        <v>100</v>
      </c>
      <c r="K27" s="3">
        <f t="shared" ca="1" si="5"/>
        <v>200</v>
      </c>
      <c r="L27" s="5">
        <f t="shared" ca="1" si="6"/>
        <v>2050</v>
      </c>
      <c r="M27" s="1"/>
    </row>
    <row r="28" spans="1:15" ht="15.75" x14ac:dyDescent="0.25">
      <c r="A28" s="10">
        <v>20</v>
      </c>
      <c r="B28" s="6">
        <f t="shared" ca="1" si="7"/>
        <v>200</v>
      </c>
      <c r="C28">
        <f t="shared" ca="1" si="0"/>
        <v>0.49312190803454159</v>
      </c>
      <c r="D28">
        <f t="shared" ca="1" si="1"/>
        <v>300</v>
      </c>
      <c r="E28">
        <f ca="1">IF(B28-D28&gt;0,B28-D28,0)</f>
        <v>0</v>
      </c>
      <c r="F28" s="3">
        <f ca="1">IF(D28&lt;B28,0,(D28-B28)*F$7)</f>
        <v>800</v>
      </c>
      <c r="G28" s="3">
        <f t="shared" ca="1" si="2"/>
        <v>1</v>
      </c>
      <c r="H28" s="3">
        <f t="shared" ca="1" si="3"/>
        <v>250</v>
      </c>
      <c r="I28" s="3">
        <f t="shared" ca="1" si="4"/>
        <v>200</v>
      </c>
      <c r="J28" s="3">
        <f ca="1">(B28+E28)/2</f>
        <v>100</v>
      </c>
      <c r="K28" s="3">
        <f t="shared" ca="1" si="5"/>
        <v>200</v>
      </c>
      <c r="L28" s="5">
        <f t="shared" ca="1" si="6"/>
        <v>1250</v>
      </c>
      <c r="M28" s="1"/>
    </row>
    <row r="29" spans="1:15" ht="15.75" x14ac:dyDescent="0.25">
      <c r="A29" s="10">
        <v>21</v>
      </c>
      <c r="B29" s="6">
        <f t="shared" ca="1" si="7"/>
        <v>200</v>
      </c>
      <c r="C29">
        <f t="shared" ca="1" si="0"/>
        <v>0.2260953831840623</v>
      </c>
      <c r="D29">
        <f t="shared" ca="1" si="1"/>
        <v>300</v>
      </c>
      <c r="E29">
        <f ca="1">IF(B29-D29&gt;0,B29-D29,0)</f>
        <v>0</v>
      </c>
      <c r="F29" s="3">
        <f ca="1">IF(D29&lt;B29,0,(D29-B29)*F$7)</f>
        <v>800</v>
      </c>
      <c r="G29" s="3">
        <f t="shared" ca="1" si="2"/>
        <v>1</v>
      </c>
      <c r="H29" s="3">
        <f t="shared" ca="1" si="3"/>
        <v>250</v>
      </c>
      <c r="I29" s="3">
        <f t="shared" ca="1" si="4"/>
        <v>200</v>
      </c>
      <c r="J29" s="3">
        <f ca="1">(B29+E29)/2</f>
        <v>100</v>
      </c>
      <c r="K29" s="3">
        <f t="shared" ca="1" si="5"/>
        <v>200</v>
      </c>
      <c r="L29" s="5">
        <f t="shared" ca="1" si="6"/>
        <v>1250</v>
      </c>
      <c r="M29" s="1"/>
    </row>
    <row r="30" spans="1:15" ht="15.75" x14ac:dyDescent="0.25">
      <c r="A30" s="10">
        <v>22</v>
      </c>
      <c r="B30" s="6">
        <f t="shared" ca="1" si="7"/>
        <v>200</v>
      </c>
      <c r="C30">
        <f t="shared" ca="1" si="0"/>
        <v>0.2359787051030523</v>
      </c>
      <c r="D30">
        <f t="shared" ca="1" si="1"/>
        <v>300</v>
      </c>
      <c r="E30">
        <f ca="1">IF(B30-D30&gt;0,B30-D30,0)</f>
        <v>0</v>
      </c>
      <c r="F30" s="3">
        <f ca="1">IF(D30&lt;B30,0,(D30-B30)*F$7)</f>
        <v>800</v>
      </c>
      <c r="G30" s="3">
        <f t="shared" ca="1" si="2"/>
        <v>1</v>
      </c>
      <c r="H30" s="3">
        <f t="shared" ca="1" si="3"/>
        <v>250</v>
      </c>
      <c r="I30" s="3">
        <f t="shared" ca="1" si="4"/>
        <v>200</v>
      </c>
      <c r="J30" s="3">
        <f ca="1">(B30+E30)/2</f>
        <v>100</v>
      </c>
      <c r="K30" s="3">
        <f t="shared" ca="1" si="5"/>
        <v>200</v>
      </c>
      <c r="L30" s="5">
        <f t="shared" ca="1" si="6"/>
        <v>1250</v>
      </c>
      <c r="M30" s="1"/>
    </row>
    <row r="31" spans="1:15" ht="15.75" x14ac:dyDescent="0.25">
      <c r="A31" s="10">
        <v>23</v>
      </c>
      <c r="B31" s="6">
        <f t="shared" ca="1" si="7"/>
        <v>200</v>
      </c>
      <c r="C31">
        <f t="shared" ca="1" si="0"/>
        <v>0.65644690209067591</v>
      </c>
      <c r="D31">
        <f t="shared" ca="1" si="1"/>
        <v>300</v>
      </c>
      <c r="E31">
        <f ca="1">IF(B31-D31&gt;0,B31-D31,0)</f>
        <v>0</v>
      </c>
      <c r="F31" s="3">
        <f ca="1">IF(D31&lt;B31,0,(D31-B31)*F$7)</f>
        <v>800</v>
      </c>
      <c r="G31" s="3">
        <f t="shared" ca="1" si="2"/>
        <v>1</v>
      </c>
      <c r="H31" s="3">
        <f t="shared" ca="1" si="3"/>
        <v>250</v>
      </c>
      <c r="I31" s="3">
        <f t="shared" ca="1" si="4"/>
        <v>200</v>
      </c>
      <c r="J31" s="3">
        <f ca="1">(B31+E31)/2</f>
        <v>100</v>
      </c>
      <c r="K31" s="3">
        <f t="shared" ca="1" si="5"/>
        <v>200</v>
      </c>
      <c r="L31" s="5">
        <f t="shared" ca="1" si="6"/>
        <v>1250</v>
      </c>
      <c r="M31" s="1"/>
    </row>
    <row r="32" spans="1:15" ht="15.75" x14ac:dyDescent="0.25">
      <c r="A32" s="10">
        <v>24</v>
      </c>
      <c r="B32" s="6">
        <f t="shared" ca="1" si="7"/>
        <v>200</v>
      </c>
      <c r="C32">
        <f t="shared" ca="1" si="0"/>
        <v>0.18612303318292511</v>
      </c>
      <c r="D32">
        <f t="shared" ca="1" si="1"/>
        <v>300</v>
      </c>
      <c r="E32">
        <f ca="1">IF(B32-D32&gt;0,B32-D32,0)</f>
        <v>0</v>
      </c>
      <c r="F32" s="3">
        <f ca="1">IF(D32&lt;B32,0,(D32-B32)*F$7)</f>
        <v>800</v>
      </c>
      <c r="G32" s="3">
        <f t="shared" ca="1" si="2"/>
        <v>1</v>
      </c>
      <c r="H32" s="3">
        <f t="shared" ca="1" si="3"/>
        <v>250</v>
      </c>
      <c r="I32" s="3">
        <f t="shared" ca="1" si="4"/>
        <v>200</v>
      </c>
      <c r="J32" s="3">
        <f ca="1">(B32+E32)/2</f>
        <v>100</v>
      </c>
      <c r="K32" s="3">
        <f t="shared" ca="1" si="5"/>
        <v>200</v>
      </c>
      <c r="L32" s="5">
        <f t="shared" ca="1" si="6"/>
        <v>1250</v>
      </c>
      <c r="M32" s="1"/>
    </row>
    <row r="33" spans="1:13" ht="15.75" x14ac:dyDescent="0.25">
      <c r="A33" s="10">
        <v>25</v>
      </c>
      <c r="B33" s="6">
        <f t="shared" ca="1" si="7"/>
        <v>200</v>
      </c>
      <c r="C33">
        <f t="shared" ca="1" si="0"/>
        <v>0.61272645125114089</v>
      </c>
      <c r="D33">
        <f t="shared" ca="1" si="1"/>
        <v>300</v>
      </c>
      <c r="E33">
        <f ca="1">IF(B33-D33&gt;0,B33-D33,0)</f>
        <v>0</v>
      </c>
      <c r="F33" s="3">
        <f ca="1">IF(D33&lt;B33,0,(D33-B33)*F$7)</f>
        <v>800</v>
      </c>
      <c r="G33" s="3">
        <f t="shared" ca="1" si="2"/>
        <v>1</v>
      </c>
      <c r="H33" s="3">
        <f t="shared" ca="1" si="3"/>
        <v>250</v>
      </c>
      <c r="I33" s="3">
        <f t="shared" ca="1" si="4"/>
        <v>200</v>
      </c>
      <c r="J33" s="3">
        <f ca="1">(B33+E33)/2</f>
        <v>100</v>
      </c>
      <c r="K33" s="3">
        <f t="shared" ca="1" si="5"/>
        <v>200</v>
      </c>
      <c r="L33" s="5">
        <f t="shared" ca="1" si="6"/>
        <v>1250</v>
      </c>
      <c r="M33" s="1"/>
    </row>
    <row r="34" spans="1:13" ht="15.75" x14ac:dyDescent="0.25">
      <c r="A34" s="10">
        <v>26</v>
      </c>
      <c r="B34" s="6">
        <f t="shared" ca="1" si="7"/>
        <v>200</v>
      </c>
      <c r="C34">
        <f t="shared" ca="1" si="0"/>
        <v>0.83957339338123771</v>
      </c>
      <c r="D34">
        <f t="shared" ca="1" si="1"/>
        <v>400</v>
      </c>
      <c r="E34">
        <f ca="1">IF(B34-D34&gt;0,B34-D34,0)</f>
        <v>0</v>
      </c>
      <c r="F34" s="3">
        <f ca="1">IF(D34&lt;B34,0,(D34-B34)*F$7)</f>
        <v>1600</v>
      </c>
      <c r="G34" s="3">
        <f t="shared" ca="1" si="2"/>
        <v>1</v>
      </c>
      <c r="H34" s="3">
        <f t="shared" ca="1" si="3"/>
        <v>250</v>
      </c>
      <c r="I34" s="3">
        <f t="shared" ca="1" si="4"/>
        <v>200</v>
      </c>
      <c r="J34" s="3">
        <f ca="1">(B34+E34)/2</f>
        <v>100</v>
      </c>
      <c r="K34" s="3">
        <f t="shared" ca="1" si="5"/>
        <v>200</v>
      </c>
      <c r="L34" s="5">
        <f t="shared" ca="1" si="6"/>
        <v>2050</v>
      </c>
      <c r="M34" s="1"/>
    </row>
    <row r="35" spans="1:13" ht="15.75" x14ac:dyDescent="0.25">
      <c r="A35" s="10">
        <v>27</v>
      </c>
      <c r="B35" s="6">
        <f t="shared" ca="1" si="7"/>
        <v>200</v>
      </c>
      <c r="C35">
        <f t="shared" ca="1" si="0"/>
        <v>0.75614919642484302</v>
      </c>
      <c r="D35">
        <f t="shared" ca="1" si="1"/>
        <v>400</v>
      </c>
      <c r="E35">
        <f ca="1">IF(B35-D35&gt;0,B35-D35,0)</f>
        <v>0</v>
      </c>
      <c r="F35" s="3">
        <f ca="1">IF(D35&lt;B35,0,(D35-B35)*F$7)</f>
        <v>1600</v>
      </c>
      <c r="G35" s="3">
        <f t="shared" ca="1" si="2"/>
        <v>1</v>
      </c>
      <c r="H35" s="3">
        <f t="shared" ca="1" si="3"/>
        <v>250</v>
      </c>
      <c r="I35" s="3">
        <f t="shared" ca="1" si="4"/>
        <v>200</v>
      </c>
      <c r="J35" s="3">
        <f ca="1">(B35+E35)/2</f>
        <v>100</v>
      </c>
      <c r="K35" s="3">
        <f t="shared" ca="1" si="5"/>
        <v>200</v>
      </c>
      <c r="L35" s="5">
        <f t="shared" ca="1" si="6"/>
        <v>2050</v>
      </c>
      <c r="M35" s="1"/>
    </row>
    <row r="36" spans="1:13" ht="15.75" x14ac:dyDescent="0.25">
      <c r="A36" s="10">
        <v>28</v>
      </c>
      <c r="B36" s="6">
        <f t="shared" ca="1" si="7"/>
        <v>200</v>
      </c>
      <c r="C36">
        <f t="shared" ca="1" si="0"/>
        <v>0.72976021253236689</v>
      </c>
      <c r="D36">
        <f t="shared" ca="1" si="1"/>
        <v>400</v>
      </c>
      <c r="E36">
        <f ca="1">IF(B36-D36&gt;0,B36-D36,0)</f>
        <v>0</v>
      </c>
      <c r="F36" s="3">
        <f ca="1">IF(D36&lt;B36,0,(D36-B36)*F$7)</f>
        <v>1600</v>
      </c>
      <c r="G36" s="3">
        <f t="shared" ca="1" si="2"/>
        <v>1</v>
      </c>
      <c r="H36" s="3">
        <f t="shared" ca="1" si="3"/>
        <v>250</v>
      </c>
      <c r="I36" s="3">
        <f t="shared" ca="1" si="4"/>
        <v>200</v>
      </c>
      <c r="J36" s="3">
        <f ca="1">(B36+E36)/2</f>
        <v>100</v>
      </c>
      <c r="K36" s="3">
        <f t="shared" ca="1" si="5"/>
        <v>200</v>
      </c>
      <c r="L36" s="5">
        <f t="shared" ca="1" si="6"/>
        <v>2050</v>
      </c>
      <c r="M36" s="1"/>
    </row>
    <row r="37" spans="1:13" ht="15.75" x14ac:dyDescent="0.25">
      <c r="A37" s="10">
        <v>29</v>
      </c>
      <c r="B37" s="6">
        <f t="shared" ca="1" si="7"/>
        <v>200</v>
      </c>
      <c r="C37">
        <f t="shared" ca="1" si="0"/>
        <v>0.9229025758785534</v>
      </c>
      <c r="D37">
        <f t="shared" ca="1" si="1"/>
        <v>400</v>
      </c>
      <c r="E37">
        <f ca="1">IF(B37-D37&gt;0,B37-D37,0)</f>
        <v>0</v>
      </c>
      <c r="F37" s="3">
        <f ca="1">IF(D37&lt;B37,0,(D37-B37)*F$7)</f>
        <v>1600</v>
      </c>
      <c r="G37" s="3">
        <f t="shared" ca="1" si="2"/>
        <v>1</v>
      </c>
      <c r="H37" s="3">
        <f t="shared" ca="1" si="3"/>
        <v>250</v>
      </c>
      <c r="I37" s="3">
        <f t="shared" ca="1" si="4"/>
        <v>200</v>
      </c>
      <c r="J37" s="3">
        <f ca="1">(B37+E37)/2</f>
        <v>100</v>
      </c>
      <c r="K37" s="3">
        <f t="shared" ca="1" si="5"/>
        <v>200</v>
      </c>
      <c r="L37" s="5">
        <f t="shared" ca="1" si="6"/>
        <v>2050</v>
      </c>
      <c r="M37" s="1"/>
    </row>
    <row r="38" spans="1:13" ht="15.75" x14ac:dyDescent="0.25">
      <c r="A38" s="10">
        <v>30</v>
      </c>
      <c r="B38" s="6">
        <f t="shared" ca="1" si="7"/>
        <v>200</v>
      </c>
      <c r="C38">
        <f t="shared" ca="1" si="0"/>
        <v>0.97582074524098084</v>
      </c>
      <c r="D38">
        <f t="shared" ca="1" si="1"/>
        <v>400</v>
      </c>
      <c r="E38">
        <f ca="1">IF(B38-D38&gt;0,B38-D38,0)</f>
        <v>0</v>
      </c>
      <c r="F38" s="3">
        <f ca="1">IF(D38&lt;B38,0,(D38-B38)*F$7)</f>
        <v>1600</v>
      </c>
      <c r="G38" s="3">
        <f t="shared" ca="1" si="2"/>
        <v>1</v>
      </c>
      <c r="H38" s="3">
        <f t="shared" ca="1" si="3"/>
        <v>250</v>
      </c>
      <c r="I38" s="3">
        <f t="shared" ca="1" si="4"/>
        <v>200</v>
      </c>
      <c r="J38" s="3">
        <f ca="1">(B38+E38)/2</f>
        <v>100</v>
      </c>
      <c r="K38" s="3">
        <f t="shared" ca="1" si="5"/>
        <v>200</v>
      </c>
      <c r="L38" s="5">
        <f t="shared" ca="1" si="6"/>
        <v>2050</v>
      </c>
      <c r="M38" s="1"/>
    </row>
    <row r="39" spans="1:13" ht="15.75" x14ac:dyDescent="0.25">
      <c r="A39" s="10">
        <v>31</v>
      </c>
      <c r="B39" s="6">
        <f t="shared" ca="1" si="7"/>
        <v>200</v>
      </c>
      <c r="C39">
        <f t="shared" ca="1" si="0"/>
        <v>0.21591111868684765</v>
      </c>
      <c r="D39">
        <f t="shared" ca="1" si="1"/>
        <v>300</v>
      </c>
      <c r="E39">
        <f ca="1">IF(B39-D39&gt;0,B39-D39,0)</f>
        <v>0</v>
      </c>
      <c r="F39" s="3">
        <f ca="1">IF(D39&lt;B39,0,(D39-B39)*F$7)</f>
        <v>800</v>
      </c>
      <c r="G39" s="3">
        <f t="shared" ca="1" si="2"/>
        <v>1</v>
      </c>
      <c r="H39" s="3">
        <f t="shared" ca="1" si="3"/>
        <v>250</v>
      </c>
      <c r="I39" s="3">
        <f t="shared" ca="1" si="4"/>
        <v>200</v>
      </c>
      <c r="J39" s="3">
        <f ca="1">(B39+E39)/2</f>
        <v>100</v>
      </c>
      <c r="K39" s="3">
        <f t="shared" ca="1" si="5"/>
        <v>200</v>
      </c>
      <c r="L39" s="5">
        <f t="shared" ca="1" si="6"/>
        <v>1250</v>
      </c>
      <c r="M39" s="1"/>
    </row>
    <row r="40" spans="1:13" ht="15.75" x14ac:dyDescent="0.25">
      <c r="A40" s="10">
        <v>32</v>
      </c>
      <c r="B40" s="6">
        <f t="shared" ca="1" si="7"/>
        <v>200</v>
      </c>
      <c r="C40">
        <f t="shared" ca="1" si="0"/>
        <v>0.97849881211945877</v>
      </c>
      <c r="D40">
        <f t="shared" ca="1" si="1"/>
        <v>400</v>
      </c>
      <c r="E40">
        <f ca="1">IF(B40-D40&gt;0,B40-D40,0)</f>
        <v>0</v>
      </c>
      <c r="F40" s="3">
        <f ca="1">IF(D40&lt;B40,0,(D40-B40)*F$7)</f>
        <v>1600</v>
      </c>
      <c r="G40" s="3">
        <f t="shared" ca="1" si="2"/>
        <v>1</v>
      </c>
      <c r="H40" s="3">
        <f t="shared" ca="1" si="3"/>
        <v>250</v>
      </c>
      <c r="I40" s="3">
        <f t="shared" ca="1" si="4"/>
        <v>200</v>
      </c>
      <c r="J40" s="3">
        <f ca="1">(B40+E40)/2</f>
        <v>100</v>
      </c>
      <c r="K40" s="3">
        <f t="shared" ca="1" si="5"/>
        <v>200</v>
      </c>
      <c r="L40" s="5">
        <f t="shared" ca="1" si="6"/>
        <v>2050</v>
      </c>
      <c r="M40" s="1"/>
    </row>
    <row r="41" spans="1:13" ht="15.75" x14ac:dyDescent="0.25">
      <c r="A41" s="10">
        <v>33</v>
      </c>
      <c r="B41" s="6">
        <f t="shared" ca="1" si="7"/>
        <v>200</v>
      </c>
      <c r="C41">
        <f t="shared" ca="1" si="0"/>
        <v>0.88831996756930232</v>
      </c>
      <c r="D41">
        <f t="shared" ca="1" si="1"/>
        <v>400</v>
      </c>
      <c r="E41">
        <f ca="1">IF(B41-D41&gt;0,B41-D41,0)</f>
        <v>0</v>
      </c>
      <c r="F41" s="3">
        <f ca="1">IF(D41&lt;B41,0,(D41-B41)*F$7)</f>
        <v>1600</v>
      </c>
      <c r="G41" s="3">
        <f t="shared" ca="1" si="2"/>
        <v>1</v>
      </c>
      <c r="H41" s="3">
        <f t="shared" ca="1" si="3"/>
        <v>250</v>
      </c>
      <c r="I41" s="3">
        <f t="shared" ca="1" si="4"/>
        <v>200</v>
      </c>
      <c r="J41" s="3">
        <f ca="1">(B41+E41)/2</f>
        <v>100</v>
      </c>
      <c r="K41" s="3">
        <f t="shared" ca="1" si="5"/>
        <v>200</v>
      </c>
      <c r="L41" s="5">
        <f t="shared" ca="1" si="6"/>
        <v>2050</v>
      </c>
      <c r="M41" s="1"/>
    </row>
    <row r="42" spans="1:13" ht="15.75" x14ac:dyDescent="0.25">
      <c r="A42" s="10">
        <v>34</v>
      </c>
      <c r="B42" s="6">
        <f t="shared" ca="1" si="7"/>
        <v>200</v>
      </c>
      <c r="C42">
        <f t="shared" ca="1" si="0"/>
        <v>0.66577293315761921</v>
      </c>
      <c r="D42">
        <f t="shared" ca="1" si="1"/>
        <v>300</v>
      </c>
      <c r="E42">
        <f ca="1">IF(B42-D42&gt;0,B42-D42,0)</f>
        <v>0</v>
      </c>
      <c r="F42" s="3">
        <f ca="1">IF(D42&lt;B42,0,(D42-B42)*F$7)</f>
        <v>800</v>
      </c>
      <c r="G42" s="3">
        <f t="shared" ca="1" si="2"/>
        <v>1</v>
      </c>
      <c r="H42" s="3">
        <f t="shared" ca="1" si="3"/>
        <v>250</v>
      </c>
      <c r="I42" s="3">
        <f t="shared" ca="1" si="4"/>
        <v>200</v>
      </c>
      <c r="J42" s="3">
        <f ca="1">(B42+E42)/2</f>
        <v>100</v>
      </c>
      <c r="K42" s="3">
        <f t="shared" ca="1" si="5"/>
        <v>200</v>
      </c>
      <c r="L42" s="5">
        <f t="shared" ca="1" si="6"/>
        <v>1250</v>
      </c>
      <c r="M42" s="1"/>
    </row>
    <row r="43" spans="1:13" ht="15.75" x14ac:dyDescent="0.25">
      <c r="A43" s="10">
        <v>35</v>
      </c>
      <c r="B43" s="6">
        <f t="shared" ca="1" si="7"/>
        <v>200</v>
      </c>
      <c r="C43">
        <f t="shared" ca="1" si="0"/>
        <v>0.83956633071336562</v>
      </c>
      <c r="D43">
        <f t="shared" ca="1" si="1"/>
        <v>400</v>
      </c>
      <c r="E43">
        <f ca="1">IF(B43-D43&gt;0,B43-D43,0)</f>
        <v>0</v>
      </c>
      <c r="F43" s="3">
        <f ca="1">IF(D43&lt;B43,0,(D43-B43)*F$7)</f>
        <v>1600</v>
      </c>
      <c r="G43" s="3">
        <f t="shared" ca="1" si="2"/>
        <v>1</v>
      </c>
      <c r="H43" s="3">
        <f t="shared" ca="1" si="3"/>
        <v>250</v>
      </c>
      <c r="I43" s="3">
        <f t="shared" ca="1" si="4"/>
        <v>200</v>
      </c>
      <c r="J43" s="3">
        <f ca="1">(B43+E43)/2</f>
        <v>100</v>
      </c>
      <c r="K43" s="3">
        <f t="shared" ca="1" si="5"/>
        <v>200</v>
      </c>
      <c r="L43" s="5">
        <f t="shared" ca="1" si="6"/>
        <v>2050</v>
      </c>
      <c r="M43" s="1"/>
    </row>
    <row r="44" spans="1:13" ht="15.75" x14ac:dyDescent="0.25">
      <c r="A44" s="10">
        <v>36</v>
      </c>
      <c r="B44" s="6">
        <f t="shared" ca="1" si="7"/>
        <v>200</v>
      </c>
      <c r="C44">
        <f t="shared" ca="1" si="0"/>
        <v>0.49377664333887805</v>
      </c>
      <c r="D44">
        <f t="shared" ca="1" si="1"/>
        <v>300</v>
      </c>
      <c r="E44">
        <f ca="1">IF(B44-D44&gt;0,B44-D44,0)</f>
        <v>0</v>
      </c>
      <c r="F44" s="3">
        <f ca="1">IF(D44&lt;B44,0,(D44-B44)*F$7)</f>
        <v>800</v>
      </c>
      <c r="G44" s="3">
        <f t="shared" ca="1" si="2"/>
        <v>1</v>
      </c>
      <c r="H44" s="3">
        <f t="shared" ca="1" si="3"/>
        <v>250</v>
      </c>
      <c r="I44" s="3">
        <f t="shared" ca="1" si="4"/>
        <v>200</v>
      </c>
      <c r="J44" s="3">
        <f ca="1">(B44+E44)/2</f>
        <v>100</v>
      </c>
      <c r="K44" s="3">
        <f t="shared" ca="1" si="5"/>
        <v>200</v>
      </c>
      <c r="L44" s="5">
        <f t="shared" ca="1" si="6"/>
        <v>1250</v>
      </c>
      <c r="M44" s="1"/>
    </row>
    <row r="45" spans="1:13" ht="15.75" x14ac:dyDescent="0.25">
      <c r="A45" s="10">
        <v>37</v>
      </c>
      <c r="B45" s="6">
        <f t="shared" ca="1" si="7"/>
        <v>200</v>
      </c>
      <c r="C45">
        <f t="shared" ca="1" si="0"/>
        <v>0.84914813703799708</v>
      </c>
      <c r="D45">
        <f t="shared" ca="1" si="1"/>
        <v>400</v>
      </c>
      <c r="E45">
        <f ca="1">IF(B45-D45&gt;0,B45-D45,0)</f>
        <v>0</v>
      </c>
      <c r="F45" s="3">
        <f ca="1">IF(D45&lt;B45,0,(D45-B45)*F$7)</f>
        <v>1600</v>
      </c>
      <c r="G45" s="3">
        <f t="shared" ca="1" si="2"/>
        <v>1</v>
      </c>
      <c r="H45" s="3">
        <f t="shared" ca="1" si="3"/>
        <v>250</v>
      </c>
      <c r="I45" s="3">
        <f t="shared" ca="1" si="4"/>
        <v>200</v>
      </c>
      <c r="J45" s="3">
        <f ca="1">(B45+E45)/2</f>
        <v>100</v>
      </c>
      <c r="K45" s="3">
        <f t="shared" ca="1" si="5"/>
        <v>200</v>
      </c>
      <c r="L45" s="5">
        <f t="shared" ca="1" si="6"/>
        <v>2050</v>
      </c>
      <c r="M45" s="1"/>
    </row>
    <row r="46" spans="1:13" ht="15.75" x14ac:dyDescent="0.25">
      <c r="A46" s="10">
        <v>38</v>
      </c>
      <c r="B46" s="6">
        <f t="shared" ca="1" si="7"/>
        <v>200</v>
      </c>
      <c r="C46">
        <f t="shared" ca="1" si="0"/>
        <v>0.43671879044344131</v>
      </c>
      <c r="D46">
        <f t="shared" ca="1" si="1"/>
        <v>300</v>
      </c>
      <c r="E46">
        <f ca="1">IF(B46-D46&gt;0,B46-D46,0)</f>
        <v>0</v>
      </c>
      <c r="F46" s="3">
        <f ca="1">IF(D46&lt;B46,0,(D46-B46)*F$7)</f>
        <v>800</v>
      </c>
      <c r="G46" s="3">
        <f t="shared" ca="1" si="2"/>
        <v>1</v>
      </c>
      <c r="H46" s="3">
        <f t="shared" ca="1" si="3"/>
        <v>250</v>
      </c>
      <c r="I46" s="3">
        <f t="shared" ca="1" si="4"/>
        <v>200</v>
      </c>
      <c r="J46" s="3">
        <f ca="1">(B46+E46)/2</f>
        <v>100</v>
      </c>
      <c r="K46" s="3">
        <f t="shared" ca="1" si="5"/>
        <v>200</v>
      </c>
      <c r="L46" s="5">
        <f t="shared" ca="1" si="6"/>
        <v>1250</v>
      </c>
      <c r="M46" s="1"/>
    </row>
    <row r="47" spans="1:13" ht="15.75" x14ac:dyDescent="0.25">
      <c r="A47" s="10">
        <v>39</v>
      </c>
      <c r="B47" s="6">
        <f t="shared" ca="1" si="7"/>
        <v>200</v>
      </c>
      <c r="C47">
        <f t="shared" ca="1" si="0"/>
        <v>0.85047872156580229</v>
      </c>
      <c r="D47">
        <f t="shared" ca="1" si="1"/>
        <v>400</v>
      </c>
      <c r="E47">
        <f ca="1">IF(B47-D47&gt;0,B47-D47,0)</f>
        <v>0</v>
      </c>
      <c r="F47" s="3">
        <f ca="1">IF(D47&lt;B47,0,(D47-B47)*F$7)</f>
        <v>1600</v>
      </c>
      <c r="G47" s="3">
        <f t="shared" ca="1" si="2"/>
        <v>1</v>
      </c>
      <c r="H47" s="3">
        <f t="shared" ca="1" si="3"/>
        <v>250</v>
      </c>
      <c r="I47" s="3">
        <f t="shared" ca="1" si="4"/>
        <v>200</v>
      </c>
      <c r="J47" s="3">
        <f ca="1">(B47+E47)/2</f>
        <v>100</v>
      </c>
      <c r="K47" s="3">
        <f t="shared" ca="1" si="5"/>
        <v>200</v>
      </c>
      <c r="L47" s="5">
        <f t="shared" ca="1" si="6"/>
        <v>2050</v>
      </c>
      <c r="M47" s="1"/>
    </row>
    <row r="48" spans="1:13" ht="15.75" x14ac:dyDescent="0.25">
      <c r="A48" s="10">
        <v>40</v>
      </c>
      <c r="B48" s="6">
        <f t="shared" ca="1" si="7"/>
        <v>200</v>
      </c>
      <c r="C48">
        <f t="shared" ca="1" si="0"/>
        <v>0.91987688155029101</v>
      </c>
      <c r="D48">
        <f t="shared" ca="1" si="1"/>
        <v>400</v>
      </c>
      <c r="E48">
        <f ca="1">IF(B48-D48&gt;0,B48-D48,0)</f>
        <v>0</v>
      </c>
      <c r="F48" s="3">
        <f ca="1">IF(D48&lt;B48,0,(D48-B48)*F$7)</f>
        <v>1600</v>
      </c>
      <c r="G48" s="3">
        <f t="shared" ca="1" si="2"/>
        <v>1</v>
      </c>
      <c r="H48" s="3">
        <f t="shared" ca="1" si="3"/>
        <v>250</v>
      </c>
      <c r="I48" s="3">
        <f t="shared" ca="1" si="4"/>
        <v>200</v>
      </c>
      <c r="J48" s="3">
        <f ca="1">(B48+E48)/2</f>
        <v>100</v>
      </c>
      <c r="K48" s="3">
        <f t="shared" ca="1" si="5"/>
        <v>200</v>
      </c>
      <c r="L48" s="5">
        <f t="shared" ca="1" si="6"/>
        <v>2050</v>
      </c>
      <c r="M48" s="1"/>
    </row>
    <row r="49" spans="1:13" ht="15.75" x14ac:dyDescent="0.25">
      <c r="A49" s="10">
        <v>41</v>
      </c>
      <c r="B49" s="6">
        <f t="shared" ca="1" si="7"/>
        <v>200</v>
      </c>
      <c r="C49">
        <f t="shared" ca="1" si="0"/>
        <v>0.46955660783749653</v>
      </c>
      <c r="D49">
        <f t="shared" ca="1" si="1"/>
        <v>300</v>
      </c>
      <c r="E49">
        <f ca="1">IF(B49-D49&gt;0,B49-D49,0)</f>
        <v>0</v>
      </c>
      <c r="F49" s="3">
        <f ca="1">IF(D49&lt;B49,0,(D49-B49)*F$7)</f>
        <v>800</v>
      </c>
      <c r="G49" s="3">
        <f t="shared" ca="1" si="2"/>
        <v>1</v>
      </c>
      <c r="H49" s="3">
        <f t="shared" ca="1" si="3"/>
        <v>250</v>
      </c>
      <c r="I49" s="3">
        <f t="shared" ca="1" si="4"/>
        <v>200</v>
      </c>
      <c r="J49" s="3">
        <f ca="1">(B49+E49)/2</f>
        <v>100</v>
      </c>
      <c r="K49" s="3">
        <f t="shared" ca="1" si="5"/>
        <v>200</v>
      </c>
      <c r="L49" s="5">
        <f t="shared" ca="1" si="6"/>
        <v>1250</v>
      </c>
      <c r="M49" s="1"/>
    </row>
    <row r="50" spans="1:13" ht="15.75" x14ac:dyDescent="0.25">
      <c r="A50" s="10">
        <v>42</v>
      </c>
      <c r="B50" s="6">
        <f t="shared" ca="1" si="7"/>
        <v>200</v>
      </c>
      <c r="C50">
        <f t="shared" ca="1" si="0"/>
        <v>0.37525453800141229</v>
      </c>
      <c r="D50">
        <f t="shared" ca="1" si="1"/>
        <v>300</v>
      </c>
      <c r="E50">
        <f ca="1">IF(B50-D50&gt;0,B50-D50,0)</f>
        <v>0</v>
      </c>
      <c r="F50" s="3">
        <f ca="1">IF(D50&lt;B50,0,(D50-B50)*F$7)</f>
        <v>800</v>
      </c>
      <c r="G50" s="3">
        <f t="shared" ca="1" si="2"/>
        <v>1</v>
      </c>
      <c r="H50" s="3">
        <f t="shared" ca="1" si="3"/>
        <v>250</v>
      </c>
      <c r="I50" s="3">
        <f t="shared" ca="1" si="4"/>
        <v>200</v>
      </c>
      <c r="J50" s="3">
        <f ca="1">(B50+E50)/2</f>
        <v>100</v>
      </c>
      <c r="K50" s="3">
        <f t="shared" ca="1" si="5"/>
        <v>200</v>
      </c>
      <c r="L50" s="5">
        <f t="shared" ca="1" si="6"/>
        <v>1250</v>
      </c>
      <c r="M50" s="1"/>
    </row>
    <row r="51" spans="1:13" ht="15.75" x14ac:dyDescent="0.25">
      <c r="A51" s="10">
        <v>43</v>
      </c>
      <c r="B51" s="6">
        <f t="shared" ca="1" si="7"/>
        <v>200</v>
      </c>
      <c r="C51">
        <f t="shared" ca="1" si="0"/>
        <v>4.507504262787887E-2</v>
      </c>
      <c r="D51">
        <f t="shared" ca="1" si="1"/>
        <v>200</v>
      </c>
      <c r="E51">
        <f ca="1">IF(B51-D51&gt;0,B51-D51,0)</f>
        <v>0</v>
      </c>
      <c r="F51" s="3">
        <f ca="1">IF(D51&lt;B51,0,(D51-B51)*F$7)</f>
        <v>0</v>
      </c>
      <c r="G51" s="3">
        <f t="shared" ca="1" si="2"/>
        <v>1</v>
      </c>
      <c r="H51" s="3">
        <f t="shared" ca="1" si="3"/>
        <v>250</v>
      </c>
      <c r="I51" s="3">
        <f t="shared" ca="1" si="4"/>
        <v>200</v>
      </c>
      <c r="J51" s="3">
        <f ca="1">(B51+E51)/2</f>
        <v>100</v>
      </c>
      <c r="K51" s="3">
        <f t="shared" ca="1" si="5"/>
        <v>200</v>
      </c>
      <c r="L51" s="5">
        <f t="shared" ca="1" si="6"/>
        <v>450</v>
      </c>
      <c r="M51" s="1"/>
    </row>
    <row r="52" spans="1:13" ht="15.75" x14ac:dyDescent="0.25">
      <c r="A52" s="10">
        <v>44</v>
      </c>
      <c r="B52" s="6">
        <f t="shared" ca="1" si="7"/>
        <v>200</v>
      </c>
      <c r="C52">
        <f t="shared" ca="1" si="0"/>
        <v>8.1803502002677164E-2</v>
      </c>
      <c r="D52">
        <f t="shared" ca="1" si="1"/>
        <v>200</v>
      </c>
      <c r="E52">
        <f ca="1">IF(B52-D52&gt;0,B52-D52,0)</f>
        <v>0</v>
      </c>
      <c r="F52" s="3">
        <f ca="1">IF(D52&lt;B52,0,(D52-B52)*F$7)</f>
        <v>0</v>
      </c>
      <c r="G52" s="3">
        <f t="shared" ca="1" si="2"/>
        <v>1</v>
      </c>
      <c r="H52" s="3">
        <f t="shared" ca="1" si="3"/>
        <v>250</v>
      </c>
      <c r="I52" s="3">
        <f t="shared" ca="1" si="4"/>
        <v>200</v>
      </c>
      <c r="J52" s="3">
        <f ca="1">(B52+E52)/2</f>
        <v>100</v>
      </c>
      <c r="K52" s="3">
        <f t="shared" ca="1" si="5"/>
        <v>200</v>
      </c>
      <c r="L52" s="5">
        <f t="shared" ca="1" si="6"/>
        <v>450</v>
      </c>
      <c r="M52" s="1"/>
    </row>
    <row r="53" spans="1:13" ht="15.75" x14ac:dyDescent="0.25">
      <c r="A53" s="10">
        <v>45</v>
      </c>
      <c r="B53" s="6">
        <f t="shared" ca="1" si="7"/>
        <v>200</v>
      </c>
      <c r="C53">
        <f t="shared" ca="1" si="0"/>
        <v>0.76673062246633961</v>
      </c>
      <c r="D53">
        <f t="shared" ca="1" si="1"/>
        <v>400</v>
      </c>
      <c r="E53">
        <f ca="1">IF(B53-D53&gt;0,B53-D53,0)</f>
        <v>0</v>
      </c>
      <c r="F53" s="3">
        <f ca="1">IF(D53&lt;B53,0,(D53-B53)*F$7)</f>
        <v>1600</v>
      </c>
      <c r="G53" s="3">
        <f t="shared" ca="1" si="2"/>
        <v>1</v>
      </c>
      <c r="H53" s="3">
        <f t="shared" ca="1" si="3"/>
        <v>250</v>
      </c>
      <c r="I53" s="3">
        <f t="shared" ca="1" si="4"/>
        <v>200</v>
      </c>
      <c r="J53" s="3">
        <f ca="1">(B53+E53)/2</f>
        <v>100</v>
      </c>
      <c r="K53" s="3">
        <f t="shared" ca="1" si="5"/>
        <v>200</v>
      </c>
      <c r="L53" s="5">
        <f t="shared" ca="1" si="6"/>
        <v>2050</v>
      </c>
      <c r="M53" s="1"/>
    </row>
    <row r="54" spans="1:13" ht="15.75" x14ac:dyDescent="0.25">
      <c r="A54" s="10">
        <v>46</v>
      </c>
      <c r="B54" s="6">
        <f t="shared" ca="1" si="7"/>
        <v>200</v>
      </c>
      <c r="C54">
        <f t="shared" ca="1" si="0"/>
        <v>0.46356339453170625</v>
      </c>
      <c r="D54">
        <f t="shared" ca="1" si="1"/>
        <v>300</v>
      </c>
      <c r="E54">
        <f ca="1">IF(B54-D54&gt;0,B54-D54,0)</f>
        <v>0</v>
      </c>
      <c r="F54" s="3">
        <f ca="1">IF(D54&lt;B54,0,(D54-B54)*F$7)</f>
        <v>800</v>
      </c>
      <c r="G54" s="3">
        <f t="shared" ca="1" si="2"/>
        <v>1</v>
      </c>
      <c r="H54" s="3">
        <f t="shared" ca="1" si="3"/>
        <v>250</v>
      </c>
      <c r="I54" s="3">
        <f t="shared" ca="1" si="4"/>
        <v>200</v>
      </c>
      <c r="J54" s="3">
        <f ca="1">(B54+E54)/2</f>
        <v>100</v>
      </c>
      <c r="K54" s="3">
        <f t="shared" ca="1" si="5"/>
        <v>200</v>
      </c>
      <c r="L54" s="5">
        <f t="shared" ca="1" si="6"/>
        <v>1250</v>
      </c>
      <c r="M54" s="1"/>
    </row>
    <row r="55" spans="1:13" ht="15.75" x14ac:dyDescent="0.25">
      <c r="A55" s="10">
        <v>47</v>
      </c>
      <c r="B55" s="6">
        <f t="shared" ca="1" si="7"/>
        <v>200</v>
      </c>
      <c r="C55">
        <f t="shared" ca="1" si="0"/>
        <v>0.22074328070289928</v>
      </c>
      <c r="D55">
        <f t="shared" ca="1" si="1"/>
        <v>300</v>
      </c>
      <c r="E55">
        <f ca="1">IF(B55-D55&gt;0,B55-D55,0)</f>
        <v>0</v>
      </c>
      <c r="F55" s="3">
        <f ca="1">IF(D55&lt;B55,0,(D55-B55)*F$7)</f>
        <v>800</v>
      </c>
      <c r="G55" s="3">
        <f t="shared" ca="1" si="2"/>
        <v>1</v>
      </c>
      <c r="H55" s="3">
        <f t="shared" ca="1" si="3"/>
        <v>250</v>
      </c>
      <c r="I55" s="3">
        <f t="shared" ca="1" si="4"/>
        <v>200</v>
      </c>
      <c r="J55" s="3">
        <f ca="1">(B55+E55)/2</f>
        <v>100</v>
      </c>
      <c r="K55" s="3">
        <f t="shared" ca="1" si="5"/>
        <v>200</v>
      </c>
      <c r="L55" s="5">
        <f t="shared" ca="1" si="6"/>
        <v>1250</v>
      </c>
      <c r="M55" s="1"/>
    </row>
    <row r="56" spans="1:13" ht="15.75" x14ac:dyDescent="0.25">
      <c r="A56" s="10">
        <v>48</v>
      </c>
      <c r="B56" s="6">
        <f t="shared" ca="1" si="7"/>
        <v>200</v>
      </c>
      <c r="C56">
        <f t="shared" ca="1" si="0"/>
        <v>6.8361302974050075E-2</v>
      </c>
      <c r="D56">
        <f t="shared" ca="1" si="1"/>
        <v>200</v>
      </c>
      <c r="E56">
        <f ca="1">IF(B56-D56&gt;0,B56-D56,0)</f>
        <v>0</v>
      </c>
      <c r="F56" s="3">
        <f ca="1">IF(D56&lt;B56,0,(D56-B56)*F$7)</f>
        <v>0</v>
      </c>
      <c r="G56" s="3">
        <f t="shared" ca="1" si="2"/>
        <v>1</v>
      </c>
      <c r="H56" s="3">
        <f t="shared" ca="1" si="3"/>
        <v>250</v>
      </c>
      <c r="I56" s="3">
        <f t="shared" ca="1" si="4"/>
        <v>200</v>
      </c>
      <c r="J56" s="3">
        <f ca="1">(B56+E56)/2</f>
        <v>100</v>
      </c>
      <c r="K56" s="3">
        <f t="shared" ca="1" si="5"/>
        <v>200</v>
      </c>
      <c r="L56" s="5">
        <f t="shared" ca="1" si="6"/>
        <v>450</v>
      </c>
      <c r="M56" s="1"/>
    </row>
    <row r="57" spans="1:13" ht="15.75" x14ac:dyDescent="0.25">
      <c r="A57" s="10">
        <v>49</v>
      </c>
      <c r="B57" s="6">
        <f t="shared" ca="1" si="7"/>
        <v>200</v>
      </c>
      <c r="C57">
        <f t="shared" ca="1" si="0"/>
        <v>0.51475679537635877</v>
      </c>
      <c r="D57">
        <f t="shared" ca="1" si="1"/>
        <v>300</v>
      </c>
      <c r="E57">
        <f ca="1">IF(B57-D57&gt;0,B57-D57,0)</f>
        <v>0</v>
      </c>
      <c r="F57" s="3">
        <f ca="1">IF(D57&lt;B57,0,(D57-B57)*F$7)</f>
        <v>800</v>
      </c>
      <c r="G57" s="3">
        <f t="shared" ca="1" si="2"/>
        <v>1</v>
      </c>
      <c r="H57" s="3">
        <f t="shared" ca="1" si="3"/>
        <v>250</v>
      </c>
      <c r="I57" s="3">
        <f t="shared" ca="1" si="4"/>
        <v>200</v>
      </c>
      <c r="J57" s="3">
        <f ca="1">(B57+E57)/2</f>
        <v>100</v>
      </c>
      <c r="K57" s="3">
        <f t="shared" ca="1" si="5"/>
        <v>200</v>
      </c>
      <c r="L57" s="5">
        <f t="shared" ca="1" si="6"/>
        <v>1250</v>
      </c>
      <c r="M57" s="1"/>
    </row>
    <row r="58" spans="1:13" ht="15.75" x14ac:dyDescent="0.25">
      <c r="A58" s="10">
        <v>50</v>
      </c>
      <c r="B58" s="6">
        <f t="shared" ca="1" si="7"/>
        <v>200</v>
      </c>
      <c r="C58">
        <f t="shared" ca="1" si="0"/>
        <v>5.313970878677754E-2</v>
      </c>
      <c r="D58">
        <f t="shared" ca="1" si="1"/>
        <v>200</v>
      </c>
      <c r="E58">
        <f ca="1">IF(B58-D58&gt;0,B58-D58,0)</f>
        <v>0</v>
      </c>
      <c r="F58" s="3">
        <f ca="1">IF(D58&lt;B58,0,(D58-B58)*F$7)</f>
        <v>0</v>
      </c>
      <c r="G58" s="3">
        <f t="shared" ca="1" si="2"/>
        <v>1</v>
      </c>
      <c r="H58" s="3">
        <f t="shared" ca="1" si="3"/>
        <v>250</v>
      </c>
      <c r="I58" s="3">
        <f t="shared" ca="1" si="4"/>
        <v>200</v>
      </c>
      <c r="J58" s="3">
        <f ca="1">(B58+E58)/2</f>
        <v>100</v>
      </c>
      <c r="K58" s="3">
        <f t="shared" ca="1" si="5"/>
        <v>200</v>
      </c>
      <c r="L58" s="5">
        <f t="shared" ca="1" si="6"/>
        <v>450</v>
      </c>
      <c r="M58" s="1"/>
    </row>
    <row r="59" spans="1:13" ht="15.75" x14ac:dyDescent="0.25">
      <c r="A59" s="10"/>
      <c r="B59" s="3"/>
      <c r="C59" s="3"/>
      <c r="D59" s="3"/>
      <c r="E59" s="3"/>
      <c r="F59" s="3"/>
      <c r="G59" s="3"/>
      <c r="H59" s="3"/>
      <c r="I59" s="3"/>
      <c r="J59" s="3"/>
      <c r="K59" s="3"/>
      <c r="L59" s="5"/>
      <c r="M59" s="1"/>
    </row>
    <row r="60" spans="1:13" ht="15.75" x14ac:dyDescent="0.25">
      <c r="A60" s="13" t="s">
        <v>6</v>
      </c>
      <c r="B60" s="14"/>
      <c r="C60" s="14"/>
      <c r="D60" s="14"/>
      <c r="E60" s="14"/>
      <c r="F60" s="14">
        <f ca="1">AVERAGE(F9:F58)</f>
        <v>976</v>
      </c>
      <c r="G60" s="14"/>
      <c r="H60" s="14">
        <f ca="1">AVERAGE(H9:H58)</f>
        <v>250</v>
      </c>
      <c r="I60" s="14"/>
      <c r="J60" s="14"/>
      <c r="K60" s="14">
        <f ca="1">AVERAGE(K9:K58)</f>
        <v>214</v>
      </c>
      <c r="L60" s="14">
        <f ca="1">AVERAGE(L9:L58)</f>
        <v>1440</v>
      </c>
      <c r="M60" s="15"/>
    </row>
    <row r="61" spans="1:13" ht="15.75" x14ac:dyDescent="0.25">
      <c r="A61" s="1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1"/>
    </row>
    <row r="64" spans="1:13" ht="13.5" thickBot="1" x14ac:dyDescent="0.25"/>
    <row r="65" spans="1:3" ht="15.75" thickBot="1" x14ac:dyDescent="0.3">
      <c r="A65" s="34" t="s">
        <v>2</v>
      </c>
      <c r="B65" s="34" t="s">
        <v>17</v>
      </c>
      <c r="C65" s="38"/>
    </row>
    <row r="66" spans="1:3" x14ac:dyDescent="0.2">
      <c r="A66" s="20">
        <v>200</v>
      </c>
      <c r="B66" s="36">
        <v>0.1</v>
      </c>
      <c r="C66" s="39"/>
    </row>
    <row r="67" spans="1:3" x14ac:dyDescent="0.2">
      <c r="A67" s="20">
        <v>300</v>
      </c>
      <c r="B67" s="36">
        <v>0.6</v>
      </c>
      <c r="C67" s="39"/>
    </row>
    <row r="68" spans="1:3" ht="13.5" thickBot="1" x14ac:dyDescent="0.25">
      <c r="A68" s="21">
        <v>400</v>
      </c>
      <c r="B68" s="37">
        <v>0.3</v>
      </c>
      <c r="C68" s="39"/>
    </row>
  </sheetData>
  <phoneticPr fontId="11" type="noConversion"/>
  <printOptions gridLines="1" gridLinesSet="0"/>
  <pageMargins left="0.75" right="0.75" top="1" bottom="1" header="0.5" footer="0.5"/>
  <pageSetup paperSize="9" scale="72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12</xdr:col>
                    <xdr:colOff>219075</xdr:colOff>
                    <xdr:row>8</xdr:row>
                    <xdr:rowOff>57150</xdr:rowOff>
                  </from>
                  <to>
                    <xdr:col>15</xdr:col>
                    <xdr:colOff>476250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6">
                <anchor moveWithCells="1" sizeWithCells="1">
                  <from>
                    <xdr:col>16</xdr:col>
                    <xdr:colOff>95250</xdr:colOff>
                    <xdr:row>8</xdr:row>
                    <xdr:rowOff>171450</xdr:rowOff>
                  </from>
                  <to>
                    <xdr:col>19</xdr:col>
                    <xdr:colOff>123825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5">
                <anchor moveWithCells="1">
                  <from>
                    <xdr:col>16</xdr:col>
                    <xdr:colOff>285750</xdr:colOff>
                    <xdr:row>17</xdr:row>
                    <xdr:rowOff>114300</xdr:rowOff>
                  </from>
                  <to>
                    <xdr:col>18</xdr:col>
                    <xdr:colOff>581025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"/>
  <sheetViews>
    <sheetView zoomScale="160" zoomScaleNormal="160" workbookViewId="0">
      <selection activeCell="B5" sqref="B5"/>
    </sheetView>
  </sheetViews>
  <sheetFormatPr defaultRowHeight="12.75" x14ac:dyDescent="0.2"/>
  <cols>
    <col min="2" max="2" width="11.7109375" customWidth="1"/>
  </cols>
  <sheetData>
    <row r="1" spans="1:5" ht="15" x14ac:dyDescent="0.25">
      <c r="A1" s="16" t="s">
        <v>2</v>
      </c>
      <c r="B1" s="17" t="s">
        <v>17</v>
      </c>
      <c r="C1" s="18" t="s">
        <v>18</v>
      </c>
      <c r="E1" s="19"/>
    </row>
    <row r="2" spans="1:5" x14ac:dyDescent="0.2">
      <c r="A2" s="20">
        <v>200</v>
      </c>
      <c r="B2" s="36">
        <v>0.1</v>
      </c>
      <c r="C2" s="24">
        <f>A2*B2</f>
        <v>20</v>
      </c>
    </row>
    <row r="3" spans="1:5" x14ac:dyDescent="0.2">
      <c r="A3" s="20">
        <v>300</v>
      </c>
      <c r="B3" s="36">
        <v>0.6</v>
      </c>
      <c r="C3" s="24">
        <f>A3*B3</f>
        <v>180</v>
      </c>
    </row>
    <row r="4" spans="1:5" ht="13.5" thickBot="1" x14ac:dyDescent="0.25">
      <c r="A4" s="21">
        <v>400</v>
      </c>
      <c r="B4" s="37">
        <v>0.3</v>
      </c>
      <c r="C4" s="25">
        <f>A4*B4</f>
        <v>120</v>
      </c>
    </row>
    <row r="5" spans="1:5" ht="13.5" thickBot="1" x14ac:dyDescent="0.25">
      <c r="B5" s="23">
        <f>SUM(B2:B4)</f>
        <v>1</v>
      </c>
      <c r="C5" s="26">
        <f>SUM(C2:C4)</f>
        <v>320</v>
      </c>
    </row>
  </sheetData>
  <phoneticPr fontId="11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Demand</vt:lpstr>
      <vt:lpstr>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Warwick Business School</dc:creator>
  <cp:lastModifiedBy>student</cp:lastModifiedBy>
  <dcterms:created xsi:type="dcterms:W3CDTF">2004-10-14T10:16:42Z</dcterms:created>
  <dcterms:modified xsi:type="dcterms:W3CDTF">2018-10-30T11:44:58Z</dcterms:modified>
</cp:coreProperties>
</file>