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0.School\1.WBS\Lecture\Spreadsheet Modelling\Workshop\111318\"/>
    </mc:Choice>
  </mc:AlternateContent>
  <bookViews>
    <workbookView xWindow="120" yWindow="120" windowWidth="14325" windowHeight="11640"/>
  </bookViews>
  <sheets>
    <sheet name="Tickets" sheetId="1" r:id="rId1"/>
    <sheet name="Discount" sheetId="2" r:id="rId2"/>
    <sheet name="System" sheetId="3" r:id="rId3"/>
  </sheets>
  <functionGroups builtInGroupCount="18"/>
  <definedNames>
    <definedName name="DiscountRange">Discount!$A$2:$B$18</definedName>
    <definedName name="RevenueOutput">Tickets!$D$13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Tickets!#REF!</definedName>
    <definedName name="solver_lhs2" localSheetId="0" hidden="1">Tickets!#REF!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el1" localSheetId="0" hidden="1">4</definedName>
    <definedName name="solver_rel2" localSheetId="0" hidden="1">1</definedName>
    <definedName name="solver_rhs1" localSheetId="0" hidden="1">Integer</definedName>
    <definedName name="solver_rhs2" localSheetId="0" hidden="1">100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TicketsInput">Tickets!$A$13</definedName>
    <definedName name="WhatIf">Tickets!$A$24:$E$34</definedName>
  </definedNames>
  <calcPr calcId="162913"/>
</workbook>
</file>

<file path=xl/calcChain.xml><?xml version="1.0" encoding="utf-8"?>
<calcChain xmlns="http://schemas.openxmlformats.org/spreadsheetml/2006/main">
  <c r="C24" i="1" l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13" i="1"/>
  <c r="D13" i="1" s="1"/>
  <c r="F9" i="1"/>
  <c r="G9" i="1" s="1"/>
  <c r="H9" i="1" s="1"/>
  <c r="I9" i="1" s="1"/>
  <c r="J9" i="1" s="1"/>
  <c r="B5" i="1"/>
  <c r="B18" i="1"/>
  <c r="B19" i="1"/>
  <c r="K9" i="1"/>
  <c r="B20" i="1"/>
  <c r="B17" i="1"/>
  <c r="B41" i="1" l="1"/>
  <c r="E41" i="1"/>
  <c r="D35" i="1"/>
  <c r="E35" i="1" s="1"/>
</calcChain>
</file>

<file path=xl/comments1.xml><?xml version="1.0" encoding="utf-8"?>
<comments xmlns="http://schemas.openxmlformats.org/spreadsheetml/2006/main">
  <authors>
    <author>Andrew Martin</author>
    <author>user</author>
  </authors>
  <commentList>
    <comment ref="B17" authorId="0" shapeId="0">
      <text>
        <r>
          <rPr>
            <b/>
            <sz val="12"/>
            <color indexed="10"/>
            <rFont val="Tahoma"/>
            <family val="2"/>
          </rPr>
          <t>Uses a custom defined Function "Revenue_Formula"</t>
        </r>
      </text>
    </comment>
    <comment ref="B18" authorId="1" shapeId="0">
      <text>
        <r>
          <rPr>
            <b/>
            <sz val="11"/>
            <color indexed="10"/>
            <rFont val="Tahoma"/>
            <family val="2"/>
          </rPr>
          <t>Custom defined function, "Revenue_Lookup"</t>
        </r>
      </text>
    </comment>
    <comment ref="B19" authorId="1" shapeId="0">
      <text>
        <r>
          <rPr>
            <b/>
            <sz val="12"/>
            <color indexed="10"/>
            <rFont val="Tahoma"/>
            <family val="2"/>
          </rPr>
          <t>Custom defined function, "Revenue_Case"</t>
        </r>
      </text>
    </comment>
    <comment ref="B20" authorId="0" shapeId="0">
      <text>
        <r>
          <rPr>
            <b/>
            <sz val="10"/>
            <color indexed="10"/>
            <rFont val="Tahoma"/>
            <family val="2"/>
          </rPr>
          <t>Custom function:</t>
        </r>
        <r>
          <rPr>
            <b/>
            <sz val="10"/>
            <color indexed="81"/>
            <rFont val="Tahoma"/>
            <family val="2"/>
          </rPr>
          <t xml:space="preserve">
revenue_formula_parameters</t>
        </r>
      </text>
    </comment>
  </commentList>
</comments>
</file>

<file path=xl/sharedStrings.xml><?xml version="1.0" encoding="utf-8"?>
<sst xmlns="http://schemas.openxmlformats.org/spreadsheetml/2006/main" count="50" uniqueCount="32">
  <si>
    <t># tickets</t>
  </si>
  <si>
    <t>Normal Price</t>
  </si>
  <si>
    <t>Discount</t>
  </si>
  <si>
    <t>Price each</t>
  </si>
  <si>
    <t>Revenue</t>
  </si>
  <si>
    <t>Table 1</t>
  </si>
  <si>
    <t>Table 2</t>
  </si>
  <si>
    <t>#tickets</t>
  </si>
  <si>
    <t>Max_tickets</t>
  </si>
  <si>
    <t>Max_revenue</t>
  </si>
  <si>
    <t>Match</t>
  </si>
  <si>
    <t>Index</t>
  </si>
  <si>
    <t>Group minimum</t>
  </si>
  <si>
    <t>Model 1</t>
  </si>
  <si>
    <t>Model 2</t>
  </si>
  <si>
    <t>Solution 2 - using Data Tables</t>
  </si>
  <si>
    <t>Optimal # tickets</t>
  </si>
  <si>
    <t>Optimal Revenue</t>
  </si>
  <si>
    <t>Model 3</t>
  </si>
  <si>
    <t>Model 4</t>
  </si>
  <si>
    <t>Discount set size</t>
  </si>
  <si>
    <t>Discount per set</t>
  </si>
  <si>
    <t>Discounted sets</t>
  </si>
  <si>
    <t>Discounted sets (adjust)</t>
  </si>
  <si>
    <t>Solution 1 - repeating the formula from Model 3</t>
  </si>
  <si>
    <t>custom function</t>
  </si>
  <si>
    <t>Arts Centre revenue optimisation - various approaches</t>
  </si>
  <si>
    <t>equivalent custom function using VLookup</t>
  </si>
  <si>
    <t>equivalent custom function using Case statement</t>
  </si>
  <si>
    <t>equivalent custom function using all four parameters</t>
  </si>
  <si>
    <t>Custom Function Revenue</t>
  </si>
  <si>
    <t>updates only in response to a normal macro: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</si>
</sst>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2"/>
      <name val="Arial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2"/>
      <color indexed="16"/>
      <name val="Arial"/>
      <family val="2"/>
    </font>
    <font>
      <sz val="12"/>
      <color indexed="12"/>
      <name val="Arial"/>
      <family val="2"/>
    </font>
    <font>
      <sz val="12"/>
      <color indexed="17"/>
      <name val="Arial"/>
      <family val="2"/>
    </font>
    <font>
      <b/>
      <sz val="12"/>
      <color indexed="17"/>
      <name val="Arial"/>
      <family val="2"/>
    </font>
    <font>
      <b/>
      <sz val="12"/>
      <color indexed="10"/>
      <name val="Tahoma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b/>
      <sz val="11"/>
      <color indexed="10"/>
      <name val="Tahoma"/>
      <family val="2"/>
    </font>
    <font>
      <sz val="14"/>
      <color indexed="12"/>
      <name val="Arial"/>
      <family val="2"/>
    </font>
    <font>
      <sz val="14"/>
      <color indexed="17"/>
      <name val="Arial"/>
      <family val="2"/>
    </font>
    <font>
      <sz val="14"/>
      <name val="Arial"/>
      <family val="2"/>
    </font>
    <font>
      <sz val="14"/>
      <color indexed="16"/>
      <name val="Arial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14"/>
      <color rgb="FF008000"/>
      <name val="Arial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6" fillId="3" borderId="4" xfId="0" applyFont="1" applyFill="1" applyBorder="1"/>
    <xf numFmtId="0" fontId="0" fillId="3" borderId="5" xfId="0" applyFill="1" applyBorder="1"/>
    <xf numFmtId="164" fontId="0" fillId="0" borderId="0" xfId="0" applyNumberFormat="1"/>
    <xf numFmtId="0" fontId="1" fillId="3" borderId="1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0" borderId="0" xfId="0" applyFont="1" applyAlignment="1">
      <alignment wrapText="1"/>
    </xf>
    <xf numFmtId="0" fontId="11" fillId="0" borderId="0" xfId="0" applyFont="1"/>
    <xf numFmtId="0" fontId="0" fillId="0" borderId="0" xfId="0" applyAlignment="1">
      <alignment wrapText="1"/>
    </xf>
    <xf numFmtId="0" fontId="0" fillId="3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1" fontId="5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3" borderId="4" xfId="0" applyFont="1" applyFill="1" applyBorder="1"/>
    <xf numFmtId="0" fontId="14" fillId="3" borderId="6" xfId="0" applyFont="1" applyFill="1" applyBorder="1"/>
    <xf numFmtId="0" fontId="15" fillId="0" borderId="0" xfId="0" applyFont="1"/>
    <xf numFmtId="0" fontId="3" fillId="0" borderId="0" xfId="0" quotePrefix="1" applyFont="1"/>
    <xf numFmtId="0" fontId="6" fillId="0" borderId="0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7" fillId="0" borderId="0" xfId="0" applyFont="1" applyFill="1" applyBorder="1"/>
    <xf numFmtId="0" fontId="0" fillId="0" borderId="0" xfId="0" applyFill="1"/>
    <xf numFmtId="0" fontId="15" fillId="3" borderId="5" xfId="0" applyFont="1" applyFill="1" applyBorder="1"/>
    <xf numFmtId="0" fontId="16" fillId="3" borderId="5" xfId="0" applyFont="1" applyFill="1" applyBorder="1"/>
    <xf numFmtId="0" fontId="0" fillId="3" borderId="0" xfId="0" applyFill="1" applyBorder="1"/>
    <xf numFmtId="0" fontId="4" fillId="3" borderId="4" xfId="0" applyFont="1" applyFill="1" applyBorder="1"/>
    <xf numFmtId="0" fontId="4" fillId="3" borderId="6" xfId="0" applyFont="1" applyFill="1" applyBorder="1"/>
    <xf numFmtId="0" fontId="6" fillId="3" borderId="7" xfId="0" applyFont="1" applyFill="1" applyBorder="1"/>
    <xf numFmtId="0" fontId="5" fillId="3" borderId="0" xfId="0" applyFont="1" applyFill="1" applyBorder="1"/>
    <xf numFmtId="0" fontId="7" fillId="3" borderId="0" xfId="0" applyFont="1" applyFill="1" applyBorder="1"/>
    <xf numFmtId="0" fontId="7" fillId="3" borderId="8" xfId="0" applyFont="1" applyFill="1" applyBorder="1"/>
    <xf numFmtId="0" fontId="0" fillId="3" borderId="4" xfId="0" applyFill="1" applyBorder="1"/>
    <xf numFmtId="0" fontId="8" fillId="3" borderId="6" xfId="0" applyFont="1" applyFill="1" applyBorder="1"/>
    <xf numFmtId="2" fontId="7" fillId="3" borderId="6" xfId="0" applyNumberFormat="1" applyFont="1" applyFill="1" applyBorder="1"/>
    <xf numFmtId="2" fontId="0" fillId="0" borderId="0" xfId="0" applyNumberFormat="1"/>
    <xf numFmtId="0" fontId="2" fillId="0" borderId="0" xfId="0" applyFont="1"/>
    <xf numFmtId="0" fontId="14" fillId="3" borderId="5" xfId="0" applyFont="1" applyFill="1" applyBorder="1"/>
    <xf numFmtId="0" fontId="19" fillId="3" borderId="6" xfId="0" applyFont="1" applyFill="1" applyBorder="1"/>
    <xf numFmtId="0" fontId="2" fillId="0" borderId="0" xfId="0" applyFont="1" applyFill="1" applyBorder="1"/>
    <xf numFmtId="0" fontId="21" fillId="3" borderId="1" xfId="0" applyFont="1" applyFill="1" applyBorder="1" applyAlignment="1">
      <alignment wrapText="1"/>
    </xf>
    <xf numFmtId="0" fontId="21" fillId="3" borderId="3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Revenue vs # tickets- overview</a:t>
            </a:r>
          </a:p>
        </c:rich>
      </c:tx>
      <c:layout>
        <c:manualLayout>
          <c:xMode val="edge"/>
          <c:yMode val="edge"/>
          <c:x val="0.21885592583755314"/>
          <c:y val="3.7414965986394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28654877736243"/>
          <c:y val="0.23922973913975037"/>
          <c:w val="0.73737621181190738"/>
          <c:h val="0.56349384898316279"/>
        </c:manualLayout>
      </c:layout>
      <c:scatterChart>
        <c:scatterStyle val="lineMarker"/>
        <c:varyColors val="0"/>
        <c:ser>
          <c:idx val="0"/>
          <c:order val="0"/>
          <c:tx>
            <c:strRef>
              <c:f>Tickets!$B$40</c:f>
              <c:strCache>
                <c:ptCount val="1"/>
                <c:pt idx="0">
                  <c:v>Revenue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Tickets!$A$42:$A$62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Tickets!$B$42:$B$62</c:f>
              <c:numCache>
                <c:formatCode>General</c:formatCode>
                <c:ptCount val="2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47.5</c:v>
                </c:pt>
                <c:pt idx="6">
                  <c:v>54</c:v>
                </c:pt>
                <c:pt idx="7">
                  <c:v>59.5</c:v>
                </c:pt>
                <c:pt idx="8">
                  <c:v>64</c:v>
                </c:pt>
                <c:pt idx="9">
                  <c:v>67.5</c:v>
                </c:pt>
                <c:pt idx="10">
                  <c:v>70</c:v>
                </c:pt>
                <c:pt idx="11">
                  <c:v>71.5</c:v>
                </c:pt>
                <c:pt idx="12">
                  <c:v>72</c:v>
                </c:pt>
                <c:pt idx="13">
                  <c:v>71.5</c:v>
                </c:pt>
                <c:pt idx="14">
                  <c:v>70</c:v>
                </c:pt>
                <c:pt idx="15">
                  <c:v>67.5</c:v>
                </c:pt>
                <c:pt idx="16">
                  <c:v>64</c:v>
                </c:pt>
                <c:pt idx="17">
                  <c:v>59.499999999999993</c:v>
                </c:pt>
                <c:pt idx="18">
                  <c:v>54.000000000000007</c:v>
                </c:pt>
                <c:pt idx="19">
                  <c:v>47.5</c:v>
                </c:pt>
                <c:pt idx="20">
                  <c:v>39.999999999999993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23-4204-8379-981392C03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4560"/>
        <c:axId val="362754168"/>
      </c:scatterChart>
      <c:valAx>
        <c:axId val="36275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tickets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4168"/>
        <c:crosses val="autoZero"/>
        <c:crossBetween val="midCat"/>
        <c:majorUnit val="10"/>
        <c:minorUnit val="5"/>
      </c:valAx>
      <c:valAx>
        <c:axId val="362754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45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Revenue vs # tickets - detail</a:t>
            </a:r>
          </a:p>
        </c:rich>
      </c:tx>
      <c:layout>
        <c:manualLayout>
          <c:xMode val="edge"/>
          <c:yMode val="edge"/>
          <c:x val="0.21131368194360323"/>
          <c:y val="3.86872943698939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07241402516992"/>
          <c:y val="0.19932497874385421"/>
          <c:w val="0.74062857527424453"/>
          <c:h val="0.58496950205168019"/>
        </c:manualLayout>
      </c:layout>
      <c:scatterChart>
        <c:scatterStyle val="lineMarker"/>
        <c:varyColors val="0"/>
        <c:ser>
          <c:idx val="0"/>
          <c:order val="0"/>
          <c:tx>
            <c:strRef>
              <c:f>Tickets!$E$40</c:f>
              <c:strCache>
                <c:ptCount val="1"/>
                <c:pt idx="0">
                  <c:v>Revenue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Tickets!$D$87:$D$117</c:f>
              <c:numCache>
                <c:formatCode>General</c:formatCode>
                <c:ptCount val="31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59</c:v>
                </c:pt>
                <c:pt idx="15">
                  <c:v>60</c:v>
                </c:pt>
                <c:pt idx="16">
                  <c:v>61</c:v>
                </c:pt>
                <c:pt idx="17">
                  <c:v>62</c:v>
                </c:pt>
                <c:pt idx="18">
                  <c:v>63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</c:numCache>
            </c:numRef>
          </c:xVal>
          <c:yVal>
            <c:numRef>
              <c:f>Tickets!$E$87:$E$117</c:f>
              <c:numCache>
                <c:formatCode>General</c:formatCode>
                <c:ptCount val="31"/>
                <c:pt idx="0">
                  <c:v>67.5</c:v>
                </c:pt>
                <c:pt idx="1">
                  <c:v>69</c:v>
                </c:pt>
                <c:pt idx="2">
                  <c:v>70.5</c:v>
                </c:pt>
                <c:pt idx="3">
                  <c:v>72</c:v>
                </c:pt>
                <c:pt idx="4">
                  <c:v>73.5</c:v>
                </c:pt>
                <c:pt idx="5">
                  <c:v>70</c:v>
                </c:pt>
                <c:pt idx="6">
                  <c:v>71.399999999999991</c:v>
                </c:pt>
                <c:pt idx="7">
                  <c:v>72.8</c:v>
                </c:pt>
                <c:pt idx="8">
                  <c:v>74.199999999999989</c:v>
                </c:pt>
                <c:pt idx="9">
                  <c:v>75.599999999999994</c:v>
                </c:pt>
                <c:pt idx="10">
                  <c:v>71.5</c:v>
                </c:pt>
                <c:pt idx="11">
                  <c:v>72.8</c:v>
                </c:pt>
                <c:pt idx="12">
                  <c:v>74.100000000000009</c:v>
                </c:pt>
                <c:pt idx="13">
                  <c:v>75.400000000000006</c:v>
                </c:pt>
                <c:pt idx="14">
                  <c:v>76.7</c:v>
                </c:pt>
                <c:pt idx="15">
                  <c:v>72</c:v>
                </c:pt>
                <c:pt idx="16">
                  <c:v>73.2</c:v>
                </c:pt>
                <c:pt idx="17">
                  <c:v>74.399999999999991</c:v>
                </c:pt>
                <c:pt idx="18">
                  <c:v>75.599999999999994</c:v>
                </c:pt>
                <c:pt idx="19">
                  <c:v>76.8</c:v>
                </c:pt>
                <c:pt idx="20">
                  <c:v>71.5</c:v>
                </c:pt>
                <c:pt idx="21">
                  <c:v>72.600000000000009</c:v>
                </c:pt>
                <c:pt idx="22">
                  <c:v>73.7</c:v>
                </c:pt>
                <c:pt idx="23">
                  <c:v>74.800000000000011</c:v>
                </c:pt>
                <c:pt idx="24">
                  <c:v>75.900000000000006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5-4D93-8D56-61FA1A8EC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5736"/>
        <c:axId val="362756128"/>
      </c:scatterChart>
      <c:valAx>
        <c:axId val="362755736"/>
        <c:scaling>
          <c:orientation val="minMax"/>
          <c:max val="75"/>
          <c:min val="4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# tickets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6128"/>
        <c:crosses val="autoZero"/>
        <c:crossBetween val="midCat"/>
        <c:majorUnit val="5"/>
        <c:minorUnit val="1"/>
      </c:valAx>
      <c:valAx>
        <c:axId val="3627561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5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44</xdr:row>
      <xdr:rowOff>142874</xdr:rowOff>
    </xdr:from>
    <xdr:to>
      <xdr:col>3</xdr:col>
      <xdr:colOff>266700</xdr:colOff>
      <xdr:row>58</xdr:row>
      <xdr:rowOff>171449</xdr:rowOff>
    </xdr:to>
    <xdr:graphicFrame macro="">
      <xdr:nvGraphicFramePr>
        <xdr:cNvPr id="110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314325</xdr:colOff>
      <xdr:row>44</xdr:row>
      <xdr:rowOff>152399</xdr:rowOff>
    </xdr:from>
    <xdr:to>
      <xdr:col>6</xdr:col>
      <xdr:colOff>714375</xdr:colOff>
      <xdr:row>58</xdr:row>
      <xdr:rowOff>142874</xdr:rowOff>
    </xdr:to>
    <xdr:graphicFrame macro="">
      <xdr:nvGraphicFramePr>
        <xdr:cNvPr id="110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11</xdr:row>
          <xdr:rowOff>152400</xdr:rowOff>
        </xdr:from>
        <xdr:to>
          <xdr:col>7</xdr:col>
          <xdr:colOff>219075</xdr:colOff>
          <xdr:row>12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Increment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876300</xdr:colOff>
          <xdr:row>31</xdr:row>
          <xdr:rowOff>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20</xdr:row>
          <xdr:rowOff>9525</xdr:rowOff>
        </xdr:from>
        <xdr:to>
          <xdr:col>7</xdr:col>
          <xdr:colOff>238125</xdr:colOff>
          <xdr:row>21</xdr:row>
          <xdr:rowOff>76200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Calculate Revenue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14</xdr:row>
          <xdr:rowOff>190500</xdr:rowOff>
        </xdr:from>
        <xdr:to>
          <xdr:col>8</xdr:col>
          <xdr:colOff>942975</xdr:colOff>
          <xdr:row>16</xdr:row>
          <xdr:rowOff>161925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22</xdr:row>
          <xdr:rowOff>152400</xdr:rowOff>
        </xdr:from>
        <xdr:to>
          <xdr:col>6</xdr:col>
          <xdr:colOff>323850</xdr:colOff>
          <xdr:row>23</xdr:row>
          <xdr:rowOff>133350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79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K143"/>
  <sheetViews>
    <sheetView tabSelected="1" topLeftCell="A7" zoomScale="85" zoomScaleNormal="85" workbookViewId="0">
      <selection activeCell="G17" sqref="G17"/>
    </sheetView>
  </sheetViews>
  <sheetFormatPr defaultRowHeight="15" x14ac:dyDescent="0.2"/>
  <cols>
    <col min="2" max="2" width="12.77734375" customWidth="1"/>
    <col min="4" max="4" width="10.109375" customWidth="1"/>
    <col min="6" max="6" width="10.88671875" customWidth="1"/>
    <col min="7" max="7" width="10.33203125" customWidth="1"/>
    <col min="8" max="8" width="9.44140625" customWidth="1"/>
    <col min="9" max="9" width="11.88671875" customWidth="1"/>
    <col min="10" max="10" width="10.6640625" customWidth="1"/>
    <col min="11" max="11" width="9.77734375" customWidth="1"/>
  </cols>
  <sheetData>
    <row r="1" spans="1:11" s="1" customFormat="1" ht="18" x14ac:dyDescent="0.25">
      <c r="A1" s="2" t="s">
        <v>26</v>
      </c>
    </row>
    <row r="2" spans="1:11" s="1" customFormat="1" ht="18.75" customHeight="1" x14ac:dyDescent="0.25">
      <c r="A2" s="2"/>
    </row>
    <row r="3" spans="1:11" ht="18.75" customHeight="1" x14ac:dyDescent="0.25">
      <c r="A3" s="15" t="s">
        <v>13</v>
      </c>
    </row>
    <row r="4" spans="1:11" s="14" customFormat="1" ht="18.75" customHeight="1" x14ac:dyDescent="0.25">
      <c r="A4" s="11" t="s">
        <v>0</v>
      </c>
      <c r="B4" s="13" t="s">
        <v>4</v>
      </c>
    </row>
    <row r="5" spans="1:11" s="26" customFormat="1" ht="18.75" customHeight="1" x14ac:dyDescent="0.25">
      <c r="A5" s="24">
        <v>0</v>
      </c>
      <c r="B5" s="25">
        <f>A5*(2-0.1*MAX(INT((A5-20)/5),0))</f>
        <v>0</v>
      </c>
      <c r="D5" s="27"/>
    </row>
    <row r="6" spans="1:11" s="32" customFormat="1" ht="18.75" customHeight="1" x14ac:dyDescent="0.2">
      <c r="A6" s="28"/>
      <c r="B6" s="29"/>
      <c r="C6" s="29"/>
      <c r="D6" s="29"/>
      <c r="E6" s="29"/>
      <c r="F6" s="29"/>
      <c r="G6" s="29"/>
      <c r="H6" s="30"/>
      <c r="I6" s="30"/>
      <c r="J6" s="31"/>
    </row>
    <row r="7" spans="1:11" ht="18.75" customHeight="1" x14ac:dyDescent="0.25">
      <c r="A7" s="15" t="s">
        <v>14</v>
      </c>
    </row>
    <row r="8" spans="1:11" s="14" customFormat="1" ht="51" customHeight="1" x14ac:dyDescent="0.25">
      <c r="A8" s="11" t="s">
        <v>0</v>
      </c>
      <c r="B8" s="12" t="s">
        <v>1</v>
      </c>
      <c r="C8" s="12" t="s">
        <v>12</v>
      </c>
      <c r="D8" s="12" t="s">
        <v>20</v>
      </c>
      <c r="E8" s="12" t="s">
        <v>21</v>
      </c>
      <c r="F8" s="12" t="s">
        <v>22</v>
      </c>
      <c r="G8" s="12" t="s">
        <v>23</v>
      </c>
      <c r="H8" s="12" t="s">
        <v>2</v>
      </c>
      <c r="I8" s="12" t="s">
        <v>3</v>
      </c>
      <c r="J8" s="12" t="s">
        <v>4</v>
      </c>
      <c r="K8" s="13" t="s">
        <v>30</v>
      </c>
    </row>
    <row r="9" spans="1:11" s="26" customFormat="1" ht="18.75" customHeight="1" x14ac:dyDescent="0.25">
      <c r="A9" s="24">
        <v>0</v>
      </c>
      <c r="B9" s="33">
        <v>2</v>
      </c>
      <c r="C9" s="33">
        <v>20</v>
      </c>
      <c r="D9" s="33">
        <v>5</v>
      </c>
      <c r="E9" s="33">
        <v>0.1</v>
      </c>
      <c r="F9" s="33">
        <f>INT((A9-C9)/D9)</f>
        <v>-4</v>
      </c>
      <c r="G9" s="33">
        <f>MAX(F9,0)</f>
        <v>0</v>
      </c>
      <c r="H9" s="34">
        <f>G9*E9</f>
        <v>0</v>
      </c>
      <c r="I9" s="34">
        <f>B9-H9</f>
        <v>2</v>
      </c>
      <c r="J9" s="47">
        <f>I9*A9</f>
        <v>0</v>
      </c>
      <c r="K9" s="48">
        <f>RevenueFormulaParameters(A9,B9,C9,D9,E9)</f>
        <v>0</v>
      </c>
    </row>
    <row r="10" spans="1:11" ht="18.75" customHeight="1" x14ac:dyDescent="0.2"/>
    <row r="11" spans="1:11" ht="18.75" customHeight="1" x14ac:dyDescent="0.25">
      <c r="A11" s="15" t="s">
        <v>18</v>
      </c>
    </row>
    <row r="12" spans="1:11" s="1" customFormat="1" ht="30" customHeight="1" x14ac:dyDescent="0.25">
      <c r="A12" s="5" t="s">
        <v>0</v>
      </c>
      <c r="B12" s="12" t="s">
        <v>1</v>
      </c>
      <c r="C12" s="6" t="s">
        <v>2</v>
      </c>
      <c r="D12" s="7" t="s">
        <v>4</v>
      </c>
      <c r="E12"/>
      <c r="I12" s="50" t="s">
        <v>16</v>
      </c>
      <c r="J12" s="51" t="s">
        <v>17</v>
      </c>
    </row>
    <row r="13" spans="1:11" s="26" customFormat="1" ht="18.75" customHeight="1" x14ac:dyDescent="0.3">
      <c r="A13" s="24">
        <v>100</v>
      </c>
      <c r="B13" s="33">
        <v>2</v>
      </c>
      <c r="C13" s="34">
        <f>VLOOKUP(TicketsInput,DiscountRange,2,1)</f>
        <v>1.6</v>
      </c>
      <c r="D13" s="25">
        <f>(B13-C13)*A13</f>
        <v>39.999999999999993</v>
      </c>
      <c r="I13" s="36">
        <v>0</v>
      </c>
      <c r="J13" s="37">
        <v>0</v>
      </c>
    </row>
    <row r="14" spans="1:11" ht="15.75" x14ac:dyDescent="0.25">
      <c r="K14" s="1"/>
    </row>
    <row r="15" spans="1:11" ht="15.75" x14ac:dyDescent="0.25">
      <c r="A15" s="15" t="s">
        <v>19</v>
      </c>
    </row>
    <row r="16" spans="1:11" ht="15.75" x14ac:dyDescent="0.25">
      <c r="A16" s="5" t="s">
        <v>0</v>
      </c>
      <c r="B16" s="7" t="s">
        <v>4</v>
      </c>
    </row>
    <row r="17" spans="1:5" x14ac:dyDescent="0.2">
      <c r="A17" s="8">
        <v>64</v>
      </c>
      <c r="B17" s="44">
        <f>RevenueFormula(A17)</f>
        <v>76.800003051757813</v>
      </c>
      <c r="C17" s="46" t="s">
        <v>25</v>
      </c>
      <c r="E17">
        <v>76.800003051757813</v>
      </c>
    </row>
    <row r="18" spans="1:5" x14ac:dyDescent="0.2">
      <c r="B18" s="45">
        <f>RevenueLookup(A17)</f>
        <v>76.800003051757813</v>
      </c>
      <c r="C18" s="46" t="s">
        <v>27</v>
      </c>
    </row>
    <row r="19" spans="1:5" x14ac:dyDescent="0.2">
      <c r="B19" s="45">
        <f>RevenueCase(A17)</f>
        <v>76.800003051757813</v>
      </c>
      <c r="C19" s="46" t="s">
        <v>28</v>
      </c>
    </row>
    <row r="20" spans="1:5" x14ac:dyDescent="0.2">
      <c r="B20" s="45">
        <f>RevenueFormulaParameters(A17,B9,C9,D9,E9)</f>
        <v>76.800003051757813</v>
      </c>
      <c r="C20" s="46" t="s">
        <v>29</v>
      </c>
    </row>
    <row r="21" spans="1:5" x14ac:dyDescent="0.2">
      <c r="B21" s="45">
        <v>64</v>
      </c>
      <c r="C21" s="49" t="s">
        <v>31</v>
      </c>
    </row>
    <row r="22" spans="1:5" ht="15.75" x14ac:dyDescent="0.25">
      <c r="A22" s="15" t="s">
        <v>24</v>
      </c>
    </row>
    <row r="23" spans="1:5" ht="35.25" customHeight="1" x14ac:dyDescent="0.25">
      <c r="A23" s="5" t="s">
        <v>0</v>
      </c>
      <c r="B23" s="12" t="s">
        <v>1</v>
      </c>
      <c r="C23" s="6" t="s">
        <v>2</v>
      </c>
      <c r="D23" s="6" t="s">
        <v>4</v>
      </c>
      <c r="E23" s="7" t="s">
        <v>0</v>
      </c>
    </row>
    <row r="24" spans="1:5" x14ac:dyDescent="0.2">
      <c r="A24" s="38">
        <v>0</v>
      </c>
      <c r="B24" s="35">
        <v>2</v>
      </c>
      <c r="C24" s="39">
        <f t="shared" ref="C24:C34" si="0">VLOOKUP(A24,DiscountRange,2)</f>
        <v>0</v>
      </c>
      <c r="D24" s="40">
        <f t="shared" ref="D24:D34" si="1">(B24-C24)*A24</f>
        <v>0</v>
      </c>
      <c r="E24" s="41">
        <v>0</v>
      </c>
    </row>
    <row r="25" spans="1:5" x14ac:dyDescent="0.2">
      <c r="A25" s="38">
        <v>10</v>
      </c>
      <c r="B25" s="35">
        <v>2</v>
      </c>
      <c r="C25" s="39">
        <f t="shared" si="0"/>
        <v>0</v>
      </c>
      <c r="D25" s="40">
        <f t="shared" si="1"/>
        <v>20</v>
      </c>
      <c r="E25" s="41">
        <v>10</v>
      </c>
    </row>
    <row r="26" spans="1:5" x14ac:dyDescent="0.2">
      <c r="A26" s="38">
        <v>20</v>
      </c>
      <c r="B26" s="35">
        <v>2</v>
      </c>
      <c r="C26" s="39">
        <f t="shared" si="0"/>
        <v>0</v>
      </c>
      <c r="D26" s="40">
        <f t="shared" si="1"/>
        <v>40</v>
      </c>
      <c r="E26" s="41">
        <v>20</v>
      </c>
    </row>
    <row r="27" spans="1:5" x14ac:dyDescent="0.2">
      <c r="A27" s="38">
        <v>30</v>
      </c>
      <c r="B27" s="35">
        <v>2</v>
      </c>
      <c r="C27" s="39">
        <f t="shared" si="0"/>
        <v>0.2</v>
      </c>
      <c r="D27" s="40">
        <f t="shared" si="1"/>
        <v>54</v>
      </c>
      <c r="E27" s="41">
        <v>30</v>
      </c>
    </row>
    <row r="28" spans="1:5" x14ac:dyDescent="0.2">
      <c r="A28" s="38">
        <v>40</v>
      </c>
      <c r="B28" s="35">
        <v>2</v>
      </c>
      <c r="C28" s="39">
        <f t="shared" si="0"/>
        <v>0.4</v>
      </c>
      <c r="D28" s="40">
        <f t="shared" si="1"/>
        <v>64</v>
      </c>
      <c r="E28" s="41">
        <v>40</v>
      </c>
    </row>
    <row r="29" spans="1:5" x14ac:dyDescent="0.2">
      <c r="A29" s="38">
        <v>50</v>
      </c>
      <c r="B29" s="35">
        <v>2</v>
      </c>
      <c r="C29" s="39">
        <f t="shared" si="0"/>
        <v>0.6</v>
      </c>
      <c r="D29" s="40">
        <f t="shared" si="1"/>
        <v>70</v>
      </c>
      <c r="E29" s="41">
        <v>50</v>
      </c>
    </row>
    <row r="30" spans="1:5" x14ac:dyDescent="0.2">
      <c r="A30" s="38">
        <v>60</v>
      </c>
      <c r="B30" s="35">
        <v>2</v>
      </c>
      <c r="C30" s="39">
        <f t="shared" si="0"/>
        <v>0.8</v>
      </c>
      <c r="D30" s="40">
        <f t="shared" si="1"/>
        <v>72</v>
      </c>
      <c r="E30" s="41">
        <v>60</v>
      </c>
    </row>
    <row r="31" spans="1:5" x14ac:dyDescent="0.2">
      <c r="A31" s="38">
        <v>70</v>
      </c>
      <c r="B31" s="35">
        <v>2</v>
      </c>
      <c r="C31" s="39">
        <f t="shared" si="0"/>
        <v>1</v>
      </c>
      <c r="D31" s="40">
        <f t="shared" si="1"/>
        <v>70</v>
      </c>
      <c r="E31" s="41">
        <v>70</v>
      </c>
    </row>
    <row r="32" spans="1:5" x14ac:dyDescent="0.2">
      <c r="A32" s="38">
        <v>80</v>
      </c>
      <c r="B32" s="35">
        <v>2</v>
      </c>
      <c r="C32" s="39">
        <f t="shared" si="0"/>
        <v>1.2</v>
      </c>
      <c r="D32" s="40">
        <f t="shared" si="1"/>
        <v>64</v>
      </c>
      <c r="E32" s="41">
        <v>80</v>
      </c>
    </row>
    <row r="33" spans="1:11" x14ac:dyDescent="0.2">
      <c r="A33" s="38">
        <v>90</v>
      </c>
      <c r="B33" s="35">
        <v>2</v>
      </c>
      <c r="C33" s="39">
        <f t="shared" si="0"/>
        <v>1.4</v>
      </c>
      <c r="D33" s="40">
        <f t="shared" si="1"/>
        <v>54.000000000000007</v>
      </c>
      <c r="E33" s="41">
        <v>90</v>
      </c>
    </row>
    <row r="34" spans="1:11" x14ac:dyDescent="0.2">
      <c r="A34" s="38">
        <v>100</v>
      </c>
      <c r="B34" s="35">
        <v>2</v>
      </c>
      <c r="C34" s="39">
        <f t="shared" si="0"/>
        <v>1.6</v>
      </c>
      <c r="D34" s="40">
        <f t="shared" si="1"/>
        <v>39.999999999999993</v>
      </c>
      <c r="E34" s="41">
        <v>100</v>
      </c>
    </row>
    <row r="35" spans="1:11" ht="15.75" x14ac:dyDescent="0.25">
      <c r="A35" s="42"/>
      <c r="B35" s="9"/>
      <c r="C35" s="9"/>
      <c r="D35" s="9">
        <f>MAX(D24:D34)</f>
        <v>72</v>
      </c>
      <c r="E35" s="43">
        <f>VLOOKUP(D35,D24:E34,2,0)</f>
        <v>60</v>
      </c>
    </row>
    <row r="36" spans="1:11" x14ac:dyDescent="0.2">
      <c r="E36" t="s">
        <v>10</v>
      </c>
    </row>
    <row r="37" spans="1:11" x14ac:dyDescent="0.2">
      <c r="E37" t="s">
        <v>11</v>
      </c>
    </row>
    <row r="38" spans="1:11" ht="15.75" x14ac:dyDescent="0.25">
      <c r="A38" s="15" t="s">
        <v>15</v>
      </c>
    </row>
    <row r="39" spans="1:11" s="14" customFormat="1" ht="15.75" x14ac:dyDescent="0.25">
      <c r="A39" s="14" t="s">
        <v>5</v>
      </c>
      <c r="C39" s="16"/>
      <c r="D39" s="14" t="s">
        <v>6</v>
      </c>
      <c r="F39" s="16"/>
      <c r="G39" s="16"/>
      <c r="H39"/>
      <c r="I39"/>
      <c r="J39"/>
      <c r="K39"/>
    </row>
    <row r="40" spans="1:11" ht="15.75" x14ac:dyDescent="0.25">
      <c r="A40" s="1" t="s">
        <v>7</v>
      </c>
      <c r="B40" s="1" t="s">
        <v>4</v>
      </c>
      <c r="D40" s="1" t="s">
        <v>0</v>
      </c>
      <c r="E40" s="1" t="s">
        <v>4</v>
      </c>
    </row>
    <row r="41" spans="1:11" x14ac:dyDescent="0.2">
      <c r="A41" s="17"/>
      <c r="B41" s="20">
        <f>D13</f>
        <v>39.999999999999993</v>
      </c>
      <c r="C41" s="21"/>
      <c r="D41" s="17"/>
      <c r="E41" s="22">
        <f>D13</f>
        <v>39.999999999999993</v>
      </c>
    </row>
    <row r="42" spans="1:11" x14ac:dyDescent="0.2">
      <c r="A42" s="18">
        <v>0</v>
      </c>
      <c r="B42" s="19">
        <f t="dataTable" ref="B42:B62" dt2D="0" dtr="0" r1="A13" ca="1"/>
        <v>0</v>
      </c>
      <c r="C42" s="23"/>
      <c r="D42" s="18">
        <v>0</v>
      </c>
      <c r="E42" s="19">
        <f t="dataTable" ref="E42:E142" dt2D="0" dtr="0" r1="A13"/>
        <v>0</v>
      </c>
    </row>
    <row r="43" spans="1:11" x14ac:dyDescent="0.2">
      <c r="A43" s="18">
        <v>5</v>
      </c>
      <c r="B43" s="19">
        <v>10</v>
      </c>
      <c r="C43" s="23"/>
      <c r="D43" s="18">
        <v>1</v>
      </c>
      <c r="E43" s="19">
        <v>2</v>
      </c>
    </row>
    <row r="44" spans="1:11" x14ac:dyDescent="0.2">
      <c r="A44" s="18">
        <v>10</v>
      </c>
      <c r="B44" s="19">
        <v>20</v>
      </c>
      <c r="C44" s="23"/>
      <c r="D44" s="18">
        <v>2</v>
      </c>
      <c r="E44" s="19">
        <v>4</v>
      </c>
    </row>
    <row r="45" spans="1:11" x14ac:dyDescent="0.2">
      <c r="A45" s="18">
        <v>15</v>
      </c>
      <c r="B45" s="19">
        <v>30</v>
      </c>
      <c r="C45" s="23"/>
      <c r="D45" s="18">
        <v>3</v>
      </c>
      <c r="E45" s="19">
        <v>6</v>
      </c>
    </row>
    <row r="46" spans="1:11" x14ac:dyDescent="0.2">
      <c r="A46" s="18">
        <v>20</v>
      </c>
      <c r="B46" s="19">
        <v>40</v>
      </c>
      <c r="C46" s="23"/>
      <c r="D46" s="18">
        <v>4</v>
      </c>
      <c r="E46" s="19">
        <v>8</v>
      </c>
    </row>
    <row r="47" spans="1:11" x14ac:dyDescent="0.2">
      <c r="A47" s="18">
        <v>25</v>
      </c>
      <c r="B47" s="19">
        <v>47.5</v>
      </c>
      <c r="C47" s="23"/>
      <c r="D47" s="18">
        <v>5</v>
      </c>
      <c r="E47" s="19">
        <v>10</v>
      </c>
    </row>
    <row r="48" spans="1:11" x14ac:dyDescent="0.2">
      <c r="A48" s="18">
        <v>30</v>
      </c>
      <c r="B48" s="19">
        <v>54</v>
      </c>
      <c r="C48" s="23"/>
      <c r="D48" s="18">
        <v>6</v>
      </c>
      <c r="E48" s="19">
        <v>12</v>
      </c>
    </row>
    <row r="49" spans="1:5" x14ac:dyDescent="0.2">
      <c r="A49" s="18">
        <v>35</v>
      </c>
      <c r="B49" s="19">
        <v>59.5</v>
      </c>
      <c r="C49" s="23"/>
      <c r="D49" s="18">
        <v>7</v>
      </c>
      <c r="E49" s="19">
        <v>14</v>
      </c>
    </row>
    <row r="50" spans="1:5" x14ac:dyDescent="0.2">
      <c r="A50" s="18">
        <v>40</v>
      </c>
      <c r="B50" s="19">
        <v>64</v>
      </c>
      <c r="C50" s="23"/>
      <c r="D50" s="18">
        <v>8</v>
      </c>
      <c r="E50" s="19">
        <v>16</v>
      </c>
    </row>
    <row r="51" spans="1:5" x14ac:dyDescent="0.2">
      <c r="A51" s="18">
        <v>45</v>
      </c>
      <c r="B51" s="19">
        <v>67.5</v>
      </c>
      <c r="C51" s="23"/>
      <c r="D51" s="18">
        <v>9</v>
      </c>
      <c r="E51" s="19">
        <v>18</v>
      </c>
    </row>
    <row r="52" spans="1:5" x14ac:dyDescent="0.2">
      <c r="A52" s="18">
        <v>50</v>
      </c>
      <c r="B52" s="19">
        <v>70</v>
      </c>
      <c r="C52" s="23"/>
      <c r="D52" s="18">
        <v>10</v>
      </c>
      <c r="E52" s="19">
        <v>20</v>
      </c>
    </row>
    <row r="53" spans="1:5" x14ac:dyDescent="0.2">
      <c r="A53" s="18">
        <v>55</v>
      </c>
      <c r="B53" s="19">
        <v>71.5</v>
      </c>
      <c r="C53" s="23"/>
      <c r="D53" s="18">
        <v>11</v>
      </c>
      <c r="E53" s="19">
        <v>22</v>
      </c>
    </row>
    <row r="54" spans="1:5" x14ac:dyDescent="0.2">
      <c r="A54" s="18">
        <v>60</v>
      </c>
      <c r="B54" s="19">
        <v>72</v>
      </c>
      <c r="C54" s="23"/>
      <c r="D54" s="18">
        <v>12</v>
      </c>
      <c r="E54" s="19">
        <v>24</v>
      </c>
    </row>
    <row r="55" spans="1:5" x14ac:dyDescent="0.2">
      <c r="A55" s="18">
        <v>65</v>
      </c>
      <c r="B55" s="19">
        <v>71.5</v>
      </c>
      <c r="C55" s="23"/>
      <c r="D55" s="18">
        <v>13</v>
      </c>
      <c r="E55" s="19">
        <v>26</v>
      </c>
    </row>
    <row r="56" spans="1:5" x14ac:dyDescent="0.2">
      <c r="A56" s="18">
        <v>70</v>
      </c>
      <c r="B56" s="19">
        <v>70</v>
      </c>
      <c r="C56" s="23"/>
      <c r="D56" s="18">
        <v>14</v>
      </c>
      <c r="E56" s="19">
        <v>28</v>
      </c>
    </row>
    <row r="57" spans="1:5" x14ac:dyDescent="0.2">
      <c r="A57" s="18">
        <v>75</v>
      </c>
      <c r="B57" s="19">
        <v>67.5</v>
      </c>
      <c r="C57" s="23"/>
      <c r="D57" s="18">
        <v>15</v>
      </c>
      <c r="E57" s="19">
        <v>30</v>
      </c>
    </row>
    <row r="58" spans="1:5" x14ac:dyDescent="0.2">
      <c r="A58" s="18">
        <v>80</v>
      </c>
      <c r="B58" s="19">
        <v>64</v>
      </c>
      <c r="C58" s="23"/>
      <c r="D58" s="18">
        <v>16</v>
      </c>
      <c r="E58" s="19">
        <v>32</v>
      </c>
    </row>
    <row r="59" spans="1:5" x14ac:dyDescent="0.2">
      <c r="A59" s="18">
        <v>85</v>
      </c>
      <c r="B59" s="19">
        <v>59.499999999999993</v>
      </c>
      <c r="C59" s="23"/>
      <c r="D59" s="18">
        <v>17</v>
      </c>
      <c r="E59" s="19">
        <v>34</v>
      </c>
    </row>
    <row r="60" spans="1:5" x14ac:dyDescent="0.2">
      <c r="A60" s="18">
        <v>90</v>
      </c>
      <c r="B60" s="19">
        <v>54.000000000000007</v>
      </c>
      <c r="C60" s="23"/>
      <c r="D60" s="18">
        <v>18</v>
      </c>
      <c r="E60" s="19">
        <v>36</v>
      </c>
    </row>
    <row r="61" spans="1:5" x14ac:dyDescent="0.2">
      <c r="A61" s="18">
        <v>95</v>
      </c>
      <c r="B61" s="19">
        <v>47.5</v>
      </c>
      <c r="C61" s="23"/>
      <c r="D61" s="18">
        <v>19</v>
      </c>
      <c r="E61" s="19">
        <v>38</v>
      </c>
    </row>
    <row r="62" spans="1:5" x14ac:dyDescent="0.2">
      <c r="A62" s="18">
        <v>100</v>
      </c>
      <c r="B62" s="19">
        <v>39.999999999999993</v>
      </c>
      <c r="C62" s="23"/>
      <c r="D62" s="18">
        <v>20</v>
      </c>
      <c r="E62" s="19">
        <v>40</v>
      </c>
    </row>
    <row r="63" spans="1:5" x14ac:dyDescent="0.2">
      <c r="A63" s="23"/>
      <c r="B63" s="23"/>
      <c r="C63" s="23"/>
      <c r="D63" s="18">
        <v>21</v>
      </c>
      <c r="E63" s="19">
        <v>42</v>
      </c>
    </row>
    <row r="64" spans="1:5" x14ac:dyDescent="0.2">
      <c r="A64" s="23"/>
      <c r="B64" s="23"/>
      <c r="C64" s="23"/>
      <c r="D64" s="18">
        <v>22</v>
      </c>
      <c r="E64" s="19">
        <v>44</v>
      </c>
    </row>
    <row r="65" spans="1:5" x14ac:dyDescent="0.2">
      <c r="A65" s="23"/>
      <c r="B65" s="23"/>
      <c r="C65" s="23"/>
      <c r="D65" s="18">
        <v>23</v>
      </c>
      <c r="E65" s="19">
        <v>46</v>
      </c>
    </row>
    <row r="66" spans="1:5" x14ac:dyDescent="0.2">
      <c r="A66" s="23"/>
      <c r="B66" s="23"/>
      <c r="C66" s="23"/>
      <c r="D66" s="18">
        <v>24</v>
      </c>
      <c r="E66" s="19">
        <v>48</v>
      </c>
    </row>
    <row r="67" spans="1:5" x14ac:dyDescent="0.2">
      <c r="A67" s="23"/>
      <c r="B67" s="23"/>
      <c r="C67" s="23"/>
      <c r="D67" s="18">
        <v>25</v>
      </c>
      <c r="E67" s="19">
        <v>47.5</v>
      </c>
    </row>
    <row r="68" spans="1:5" x14ac:dyDescent="0.2">
      <c r="A68" s="23"/>
      <c r="B68" s="23"/>
      <c r="C68" s="23"/>
      <c r="D68" s="18">
        <v>26</v>
      </c>
      <c r="E68" s="19">
        <v>49.4</v>
      </c>
    </row>
    <row r="69" spans="1:5" x14ac:dyDescent="0.2">
      <c r="A69" s="23"/>
      <c r="B69" s="23"/>
      <c r="C69" s="23"/>
      <c r="D69" s="18">
        <v>27</v>
      </c>
      <c r="E69" s="19">
        <v>51.3</v>
      </c>
    </row>
    <row r="70" spans="1:5" x14ac:dyDescent="0.2">
      <c r="A70" s="23"/>
      <c r="B70" s="23"/>
      <c r="C70" s="23"/>
      <c r="D70" s="18">
        <v>28</v>
      </c>
      <c r="E70" s="19">
        <v>53.199999999999996</v>
      </c>
    </row>
    <row r="71" spans="1:5" x14ac:dyDescent="0.2">
      <c r="A71" s="23"/>
      <c r="B71" s="23"/>
      <c r="C71" s="23"/>
      <c r="D71" s="18">
        <v>29</v>
      </c>
      <c r="E71" s="19">
        <v>55.099999999999994</v>
      </c>
    </row>
    <row r="72" spans="1:5" x14ac:dyDescent="0.2">
      <c r="A72" s="23"/>
      <c r="B72" s="23"/>
      <c r="C72" s="23"/>
      <c r="D72" s="18">
        <v>30</v>
      </c>
      <c r="E72" s="19">
        <v>54</v>
      </c>
    </row>
    <row r="73" spans="1:5" x14ac:dyDescent="0.2">
      <c r="A73" s="23"/>
      <c r="B73" s="23"/>
      <c r="C73" s="23"/>
      <c r="D73" s="18">
        <v>31</v>
      </c>
      <c r="E73" s="19">
        <v>55.800000000000004</v>
      </c>
    </row>
    <row r="74" spans="1:5" x14ac:dyDescent="0.2">
      <c r="A74" s="23"/>
      <c r="B74" s="23"/>
      <c r="C74" s="23"/>
      <c r="D74" s="18">
        <v>32</v>
      </c>
      <c r="E74" s="19">
        <v>57.6</v>
      </c>
    </row>
    <row r="75" spans="1:5" x14ac:dyDescent="0.2">
      <c r="A75" s="23"/>
      <c r="B75" s="23"/>
      <c r="C75" s="23"/>
      <c r="D75" s="18">
        <v>33</v>
      </c>
      <c r="E75" s="19">
        <v>59.4</v>
      </c>
    </row>
    <row r="76" spans="1:5" x14ac:dyDescent="0.2">
      <c r="A76" s="23"/>
      <c r="B76" s="23"/>
      <c r="C76" s="23"/>
      <c r="D76" s="18">
        <v>34</v>
      </c>
      <c r="E76" s="19">
        <v>61.2</v>
      </c>
    </row>
    <row r="77" spans="1:5" x14ac:dyDescent="0.2">
      <c r="A77" s="23"/>
      <c r="B77" s="23"/>
      <c r="C77" s="23"/>
      <c r="D77" s="18">
        <v>35</v>
      </c>
      <c r="E77" s="19">
        <v>59.5</v>
      </c>
    </row>
    <row r="78" spans="1:5" x14ac:dyDescent="0.2">
      <c r="A78" s="23"/>
      <c r="B78" s="23"/>
      <c r="C78" s="23"/>
      <c r="D78" s="18">
        <v>36</v>
      </c>
      <c r="E78" s="19">
        <v>61.199999999999996</v>
      </c>
    </row>
    <row r="79" spans="1:5" x14ac:dyDescent="0.2">
      <c r="A79" s="23"/>
      <c r="B79" s="23"/>
      <c r="C79" s="23"/>
      <c r="D79" s="18">
        <v>37</v>
      </c>
      <c r="E79" s="19">
        <v>62.9</v>
      </c>
    </row>
    <row r="80" spans="1:5" x14ac:dyDescent="0.2">
      <c r="A80" s="23"/>
      <c r="B80" s="23"/>
      <c r="C80" s="23"/>
      <c r="D80" s="18">
        <v>38</v>
      </c>
      <c r="E80" s="19">
        <v>64.599999999999994</v>
      </c>
    </row>
    <row r="81" spans="1:5" x14ac:dyDescent="0.2">
      <c r="A81" s="23"/>
      <c r="B81" s="23"/>
      <c r="C81" s="23"/>
      <c r="D81" s="18">
        <v>39</v>
      </c>
      <c r="E81" s="19">
        <v>66.3</v>
      </c>
    </row>
    <row r="82" spans="1:5" x14ac:dyDescent="0.2">
      <c r="A82" s="23"/>
      <c r="B82" s="23"/>
      <c r="C82" s="23"/>
      <c r="D82" s="18">
        <v>40</v>
      </c>
      <c r="E82" s="19">
        <v>64</v>
      </c>
    </row>
    <row r="83" spans="1:5" x14ac:dyDescent="0.2">
      <c r="A83" s="23"/>
      <c r="B83" s="23"/>
      <c r="C83" s="23"/>
      <c r="D83" s="18">
        <v>41</v>
      </c>
      <c r="E83" s="19">
        <v>65.600000000000009</v>
      </c>
    </row>
    <row r="84" spans="1:5" x14ac:dyDescent="0.2">
      <c r="A84" s="23"/>
      <c r="B84" s="23"/>
      <c r="C84" s="23"/>
      <c r="D84" s="18">
        <v>42</v>
      </c>
      <c r="E84" s="19">
        <v>67.2</v>
      </c>
    </row>
    <row r="85" spans="1:5" x14ac:dyDescent="0.2">
      <c r="A85" s="23"/>
      <c r="B85" s="23"/>
      <c r="C85" s="23"/>
      <c r="D85" s="18">
        <v>43</v>
      </c>
      <c r="E85" s="19">
        <v>68.8</v>
      </c>
    </row>
    <row r="86" spans="1:5" x14ac:dyDescent="0.2">
      <c r="A86" s="23"/>
      <c r="B86" s="23"/>
      <c r="C86" s="23"/>
      <c r="D86" s="18">
        <v>44</v>
      </c>
      <c r="E86" s="19">
        <v>70.400000000000006</v>
      </c>
    </row>
    <row r="87" spans="1:5" x14ac:dyDescent="0.2">
      <c r="A87" s="23"/>
      <c r="B87" s="23"/>
      <c r="C87" s="23"/>
      <c r="D87" s="18">
        <v>45</v>
      </c>
      <c r="E87" s="19">
        <v>67.5</v>
      </c>
    </row>
    <row r="88" spans="1:5" x14ac:dyDescent="0.2">
      <c r="A88" s="23"/>
      <c r="B88" s="23"/>
      <c r="C88" s="23"/>
      <c r="D88" s="18">
        <v>46</v>
      </c>
      <c r="E88" s="19">
        <v>69</v>
      </c>
    </row>
    <row r="89" spans="1:5" x14ac:dyDescent="0.2">
      <c r="A89" s="23"/>
      <c r="B89" s="23"/>
      <c r="C89" s="23"/>
      <c r="D89" s="18">
        <v>47</v>
      </c>
      <c r="E89" s="19">
        <v>70.5</v>
      </c>
    </row>
    <row r="90" spans="1:5" x14ac:dyDescent="0.2">
      <c r="A90" s="23"/>
      <c r="B90" s="23"/>
      <c r="C90" s="23"/>
      <c r="D90" s="18">
        <v>48</v>
      </c>
      <c r="E90" s="19">
        <v>72</v>
      </c>
    </row>
    <row r="91" spans="1:5" x14ac:dyDescent="0.2">
      <c r="A91" s="23"/>
      <c r="B91" s="23"/>
      <c r="C91" s="23"/>
      <c r="D91" s="18">
        <v>49</v>
      </c>
      <c r="E91" s="19">
        <v>73.5</v>
      </c>
    </row>
    <row r="92" spans="1:5" x14ac:dyDescent="0.2">
      <c r="A92" s="23"/>
      <c r="B92" s="23"/>
      <c r="C92" s="23"/>
      <c r="D92" s="18">
        <v>50</v>
      </c>
      <c r="E92" s="19">
        <v>70</v>
      </c>
    </row>
    <row r="93" spans="1:5" x14ac:dyDescent="0.2">
      <c r="A93" s="23"/>
      <c r="B93" s="23"/>
      <c r="C93" s="23"/>
      <c r="D93" s="18">
        <v>51</v>
      </c>
      <c r="E93" s="19">
        <v>71.399999999999991</v>
      </c>
    </row>
    <row r="94" spans="1:5" x14ac:dyDescent="0.2">
      <c r="A94" s="23"/>
      <c r="B94" s="23"/>
      <c r="C94" s="23"/>
      <c r="D94" s="18">
        <v>52</v>
      </c>
      <c r="E94" s="19">
        <v>72.8</v>
      </c>
    </row>
    <row r="95" spans="1:5" x14ac:dyDescent="0.2">
      <c r="A95" s="23"/>
      <c r="B95" s="23"/>
      <c r="C95" s="23"/>
      <c r="D95" s="18">
        <v>53</v>
      </c>
      <c r="E95" s="19">
        <v>74.199999999999989</v>
      </c>
    </row>
    <row r="96" spans="1:5" x14ac:dyDescent="0.2">
      <c r="A96" s="23"/>
      <c r="B96" s="23"/>
      <c r="C96" s="23"/>
      <c r="D96" s="18">
        <v>54</v>
      </c>
      <c r="E96" s="19">
        <v>75.599999999999994</v>
      </c>
    </row>
    <row r="97" spans="1:5" x14ac:dyDescent="0.2">
      <c r="A97" s="23"/>
      <c r="B97" s="23"/>
      <c r="C97" s="23"/>
      <c r="D97" s="18">
        <v>55</v>
      </c>
      <c r="E97" s="19">
        <v>71.5</v>
      </c>
    </row>
    <row r="98" spans="1:5" x14ac:dyDescent="0.2">
      <c r="A98" s="23"/>
      <c r="B98" s="23"/>
      <c r="C98" s="23"/>
      <c r="D98" s="18">
        <v>56</v>
      </c>
      <c r="E98" s="19">
        <v>72.8</v>
      </c>
    </row>
    <row r="99" spans="1:5" x14ac:dyDescent="0.2">
      <c r="A99" s="23"/>
      <c r="B99" s="23"/>
      <c r="C99" s="23"/>
      <c r="D99" s="18">
        <v>57</v>
      </c>
      <c r="E99" s="19">
        <v>74.100000000000009</v>
      </c>
    </row>
    <row r="100" spans="1:5" x14ac:dyDescent="0.2">
      <c r="A100" s="23"/>
      <c r="B100" s="23"/>
      <c r="C100" s="23"/>
      <c r="D100" s="18">
        <v>58</v>
      </c>
      <c r="E100" s="19">
        <v>75.400000000000006</v>
      </c>
    </row>
    <row r="101" spans="1:5" x14ac:dyDescent="0.2">
      <c r="A101" s="23"/>
      <c r="B101" s="23"/>
      <c r="C101" s="23"/>
      <c r="D101" s="18">
        <v>59</v>
      </c>
      <c r="E101" s="19">
        <v>76.7</v>
      </c>
    </row>
    <row r="102" spans="1:5" x14ac:dyDescent="0.2">
      <c r="A102" s="23"/>
      <c r="B102" s="23"/>
      <c r="C102" s="23"/>
      <c r="D102" s="18">
        <v>60</v>
      </c>
      <c r="E102" s="19">
        <v>72</v>
      </c>
    </row>
    <row r="103" spans="1:5" x14ac:dyDescent="0.2">
      <c r="A103" s="23"/>
      <c r="B103" s="23"/>
      <c r="C103" s="23"/>
      <c r="D103" s="18">
        <v>61</v>
      </c>
      <c r="E103" s="19">
        <v>73.2</v>
      </c>
    </row>
    <row r="104" spans="1:5" x14ac:dyDescent="0.2">
      <c r="A104" s="23"/>
      <c r="B104" s="23"/>
      <c r="C104" s="23"/>
      <c r="D104" s="18">
        <v>62</v>
      </c>
      <c r="E104" s="19">
        <v>74.399999999999991</v>
      </c>
    </row>
    <row r="105" spans="1:5" x14ac:dyDescent="0.2">
      <c r="A105" s="23"/>
      <c r="B105" s="23"/>
      <c r="C105" s="23"/>
      <c r="D105" s="18">
        <v>63</v>
      </c>
      <c r="E105" s="19">
        <v>75.599999999999994</v>
      </c>
    </row>
    <row r="106" spans="1:5" x14ac:dyDescent="0.2">
      <c r="A106" s="23"/>
      <c r="B106" s="23"/>
      <c r="C106" s="23"/>
      <c r="D106" s="18">
        <v>64</v>
      </c>
      <c r="E106" s="19">
        <v>76.8</v>
      </c>
    </row>
    <row r="107" spans="1:5" x14ac:dyDescent="0.2">
      <c r="A107" s="23"/>
      <c r="B107" s="23"/>
      <c r="C107" s="23"/>
      <c r="D107" s="18">
        <v>65</v>
      </c>
      <c r="E107" s="19">
        <v>71.5</v>
      </c>
    </row>
    <row r="108" spans="1:5" x14ac:dyDescent="0.2">
      <c r="A108" s="23"/>
      <c r="B108" s="23"/>
      <c r="C108" s="23"/>
      <c r="D108" s="18">
        <v>66</v>
      </c>
      <c r="E108" s="19">
        <v>72.600000000000009</v>
      </c>
    </row>
    <row r="109" spans="1:5" x14ac:dyDescent="0.2">
      <c r="A109" s="23"/>
      <c r="B109" s="23"/>
      <c r="C109" s="23"/>
      <c r="D109" s="18">
        <v>67</v>
      </c>
      <c r="E109" s="19">
        <v>73.7</v>
      </c>
    </row>
    <row r="110" spans="1:5" x14ac:dyDescent="0.2">
      <c r="A110" s="23"/>
      <c r="B110" s="23"/>
      <c r="C110" s="23"/>
      <c r="D110" s="18">
        <v>68</v>
      </c>
      <c r="E110" s="19">
        <v>74.800000000000011</v>
      </c>
    </row>
    <row r="111" spans="1:5" x14ac:dyDescent="0.2">
      <c r="A111" s="23"/>
      <c r="B111" s="23"/>
      <c r="C111" s="23"/>
      <c r="D111" s="18">
        <v>69</v>
      </c>
      <c r="E111" s="19">
        <v>75.900000000000006</v>
      </c>
    </row>
    <row r="112" spans="1:5" x14ac:dyDescent="0.2">
      <c r="A112" s="23"/>
      <c r="B112" s="23"/>
      <c r="C112" s="23"/>
      <c r="D112" s="18">
        <v>70</v>
      </c>
      <c r="E112" s="19">
        <v>70</v>
      </c>
    </row>
    <row r="113" spans="1:5" x14ac:dyDescent="0.2">
      <c r="A113" s="23"/>
      <c r="B113" s="23"/>
      <c r="C113" s="23"/>
      <c r="D113" s="18">
        <v>71</v>
      </c>
      <c r="E113" s="19">
        <v>71</v>
      </c>
    </row>
    <row r="114" spans="1:5" x14ac:dyDescent="0.2">
      <c r="A114" s="23"/>
      <c r="B114" s="23"/>
      <c r="C114" s="23"/>
      <c r="D114" s="18">
        <v>72</v>
      </c>
      <c r="E114" s="19">
        <v>72</v>
      </c>
    </row>
    <row r="115" spans="1:5" x14ac:dyDescent="0.2">
      <c r="A115" s="23"/>
      <c r="B115" s="23"/>
      <c r="C115" s="23"/>
      <c r="D115" s="18">
        <v>73</v>
      </c>
      <c r="E115" s="19">
        <v>73</v>
      </c>
    </row>
    <row r="116" spans="1:5" x14ac:dyDescent="0.2">
      <c r="A116" s="23"/>
      <c r="B116" s="23"/>
      <c r="C116" s="23"/>
      <c r="D116" s="18">
        <v>74</v>
      </c>
      <c r="E116" s="19">
        <v>74</v>
      </c>
    </row>
    <row r="117" spans="1:5" x14ac:dyDescent="0.2">
      <c r="A117" s="23"/>
      <c r="B117" s="23"/>
      <c r="C117" s="23"/>
      <c r="D117" s="18">
        <v>75</v>
      </c>
      <c r="E117" s="19">
        <v>67.5</v>
      </c>
    </row>
    <row r="118" spans="1:5" x14ac:dyDescent="0.2">
      <c r="A118" s="23"/>
      <c r="B118" s="23"/>
      <c r="C118" s="23"/>
      <c r="D118" s="18">
        <v>76</v>
      </c>
      <c r="E118" s="19">
        <v>68.399999999999991</v>
      </c>
    </row>
    <row r="119" spans="1:5" x14ac:dyDescent="0.2">
      <c r="A119" s="23"/>
      <c r="B119" s="23"/>
      <c r="C119" s="23"/>
      <c r="D119" s="18">
        <v>77</v>
      </c>
      <c r="E119" s="19">
        <v>69.3</v>
      </c>
    </row>
    <row r="120" spans="1:5" x14ac:dyDescent="0.2">
      <c r="A120" s="23"/>
      <c r="B120" s="23"/>
      <c r="C120" s="23"/>
      <c r="D120" s="18">
        <v>78</v>
      </c>
      <c r="E120" s="19">
        <v>70.199999999999989</v>
      </c>
    </row>
    <row r="121" spans="1:5" x14ac:dyDescent="0.2">
      <c r="A121" s="23"/>
      <c r="B121" s="23"/>
      <c r="C121" s="23"/>
      <c r="D121" s="18">
        <v>79</v>
      </c>
      <c r="E121" s="19">
        <v>71.099999999999994</v>
      </c>
    </row>
    <row r="122" spans="1:5" x14ac:dyDescent="0.2">
      <c r="A122" s="23"/>
      <c r="B122" s="23"/>
      <c r="C122" s="23"/>
      <c r="D122" s="18">
        <v>80</v>
      </c>
      <c r="E122" s="19">
        <v>64</v>
      </c>
    </row>
    <row r="123" spans="1:5" x14ac:dyDescent="0.2">
      <c r="A123" s="23"/>
      <c r="B123" s="23"/>
      <c r="C123" s="23"/>
      <c r="D123" s="18">
        <v>81</v>
      </c>
      <c r="E123" s="19">
        <v>64.8</v>
      </c>
    </row>
    <row r="124" spans="1:5" x14ac:dyDescent="0.2">
      <c r="A124" s="23"/>
      <c r="B124" s="23"/>
      <c r="C124" s="23"/>
      <c r="D124" s="18">
        <v>82</v>
      </c>
      <c r="E124" s="19">
        <v>65.600000000000009</v>
      </c>
    </row>
    <row r="125" spans="1:5" x14ac:dyDescent="0.2">
      <c r="A125" s="23"/>
      <c r="B125" s="23"/>
      <c r="C125" s="23"/>
      <c r="D125" s="18">
        <v>83</v>
      </c>
      <c r="E125" s="19">
        <v>66.400000000000006</v>
      </c>
    </row>
    <row r="126" spans="1:5" x14ac:dyDescent="0.2">
      <c r="A126" s="23"/>
      <c r="B126" s="23"/>
      <c r="C126" s="23"/>
      <c r="D126" s="18">
        <v>84</v>
      </c>
      <c r="E126" s="19">
        <v>67.2</v>
      </c>
    </row>
    <row r="127" spans="1:5" x14ac:dyDescent="0.2">
      <c r="A127" s="23"/>
      <c r="B127" s="23"/>
      <c r="C127" s="23"/>
      <c r="D127" s="18">
        <v>85</v>
      </c>
      <c r="E127" s="19">
        <v>59.499999999999993</v>
      </c>
    </row>
    <row r="128" spans="1:5" x14ac:dyDescent="0.2">
      <c r="A128" s="23"/>
      <c r="B128" s="23"/>
      <c r="C128" s="23"/>
      <c r="D128" s="18">
        <v>86</v>
      </c>
      <c r="E128" s="19">
        <v>60.199999999999996</v>
      </c>
    </row>
    <row r="129" spans="1:5" x14ac:dyDescent="0.2">
      <c r="A129" s="23"/>
      <c r="B129" s="23"/>
      <c r="C129" s="23"/>
      <c r="D129" s="18">
        <v>87</v>
      </c>
      <c r="E129" s="19">
        <v>60.9</v>
      </c>
    </row>
    <row r="130" spans="1:5" x14ac:dyDescent="0.2">
      <c r="A130" s="23"/>
      <c r="B130" s="23"/>
      <c r="C130" s="23"/>
      <c r="D130" s="18">
        <v>88</v>
      </c>
      <c r="E130" s="19">
        <v>61.599999999999994</v>
      </c>
    </row>
    <row r="131" spans="1:5" x14ac:dyDescent="0.2">
      <c r="A131" s="23"/>
      <c r="B131" s="23"/>
      <c r="C131" s="23"/>
      <c r="D131" s="18">
        <v>89</v>
      </c>
      <c r="E131" s="19">
        <v>62.3</v>
      </c>
    </row>
    <row r="132" spans="1:5" x14ac:dyDescent="0.2">
      <c r="A132" s="23"/>
      <c r="B132" s="23"/>
      <c r="C132" s="23"/>
      <c r="D132" s="18">
        <v>90</v>
      </c>
      <c r="E132" s="19">
        <v>54.000000000000007</v>
      </c>
    </row>
    <row r="133" spans="1:5" x14ac:dyDescent="0.2">
      <c r="A133" s="23"/>
      <c r="B133" s="23"/>
      <c r="C133" s="23"/>
      <c r="D133" s="18">
        <v>91</v>
      </c>
      <c r="E133" s="19">
        <v>54.600000000000009</v>
      </c>
    </row>
    <row r="134" spans="1:5" x14ac:dyDescent="0.2">
      <c r="A134" s="23"/>
      <c r="B134" s="23"/>
      <c r="C134" s="23"/>
      <c r="D134" s="18">
        <v>92</v>
      </c>
      <c r="E134" s="19">
        <v>55.20000000000001</v>
      </c>
    </row>
    <row r="135" spans="1:5" x14ac:dyDescent="0.2">
      <c r="A135" s="23"/>
      <c r="B135" s="23"/>
      <c r="C135" s="23"/>
      <c r="D135" s="18">
        <v>93</v>
      </c>
      <c r="E135" s="19">
        <v>55.800000000000011</v>
      </c>
    </row>
    <row r="136" spans="1:5" x14ac:dyDescent="0.2">
      <c r="A136" s="23"/>
      <c r="B136" s="23"/>
      <c r="C136" s="23"/>
      <c r="D136" s="18">
        <v>94</v>
      </c>
      <c r="E136" s="19">
        <v>56.400000000000006</v>
      </c>
    </row>
    <row r="137" spans="1:5" x14ac:dyDescent="0.2">
      <c r="A137" s="23"/>
      <c r="B137" s="23"/>
      <c r="C137" s="23"/>
      <c r="D137" s="18">
        <v>95</v>
      </c>
      <c r="E137" s="19">
        <v>47.5</v>
      </c>
    </row>
    <row r="138" spans="1:5" x14ac:dyDescent="0.2">
      <c r="A138" s="23"/>
      <c r="B138" s="23"/>
      <c r="C138" s="23"/>
      <c r="D138" s="18">
        <v>96</v>
      </c>
      <c r="E138" s="19">
        <v>48</v>
      </c>
    </row>
    <row r="139" spans="1:5" x14ac:dyDescent="0.2">
      <c r="A139" s="23"/>
      <c r="B139" s="23"/>
      <c r="C139" s="23"/>
      <c r="D139" s="18">
        <v>97</v>
      </c>
      <c r="E139" s="19">
        <v>48.5</v>
      </c>
    </row>
    <row r="140" spans="1:5" x14ac:dyDescent="0.2">
      <c r="A140" s="23"/>
      <c r="B140" s="23"/>
      <c r="C140" s="23"/>
      <c r="D140" s="18">
        <v>98</v>
      </c>
      <c r="E140" s="19">
        <v>49</v>
      </c>
    </row>
    <row r="141" spans="1:5" x14ac:dyDescent="0.2">
      <c r="A141" s="23"/>
      <c r="B141" s="23"/>
      <c r="C141" s="23"/>
      <c r="D141" s="18">
        <v>99</v>
      </c>
      <c r="E141" s="19">
        <v>49.5</v>
      </c>
    </row>
    <row r="142" spans="1:5" x14ac:dyDescent="0.2">
      <c r="A142" s="23"/>
      <c r="B142" s="23"/>
      <c r="C142" s="23"/>
      <c r="D142" s="18">
        <v>100</v>
      </c>
      <c r="E142" s="19">
        <v>39.999999999999993</v>
      </c>
    </row>
    <row r="143" spans="1:5" x14ac:dyDescent="0.2">
      <c r="E143" s="10"/>
    </row>
  </sheetData>
  <sortState ref="A24:E34">
    <sortCondition ref="A24:A34"/>
  </sortState>
  <phoneticPr fontId="10" type="noConversion"/>
  <printOptions gridLines="1" gridLinesSet="0"/>
  <pageMargins left="0.75" right="0.75" top="1" bottom="1" header="0.5" footer="0.5"/>
  <pageSetup paperSize="9" scale="32" orientation="portrait" horizontalDpi="300" verticalDpi="300" r:id="rId1"/>
  <headerFooter alignWithMargins="0">
    <oddHeader>ARTS.XLS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Line="0" autoPict="0" macro="[0]!Increment">
                <anchor moveWithCells="1" sizeWithCells="1">
                  <from>
                    <xdr:col>5</xdr:col>
                    <xdr:colOff>885825</xdr:colOff>
                    <xdr:row>11</xdr:row>
                    <xdr:rowOff>152400</xdr:rowOff>
                  </from>
                  <to>
                    <xdr:col>7</xdr:col>
                    <xdr:colOff>219075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Line="0" autoPict="0" macro="[0]!SortRevenue">
                <anchor moveWithCells="1" sizeWithCells="1">
                  <from>
                    <xdr:col>6</xdr:col>
                    <xdr:colOff>876300</xdr:colOff>
                    <xdr:row>31</xdr:row>
                    <xdr:rowOff>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" name="Button 75">
              <controlPr defaultSize="0" print="0" autoFill="0" autoLine="0" autoPict="0" macro="[0]!Revenue_Formula_Sub">
                <anchor moveWithCells="1" sizeWithCells="1">
                  <from>
                    <xdr:col>5</xdr:col>
                    <xdr:colOff>581025</xdr:colOff>
                    <xdr:row>20</xdr:row>
                    <xdr:rowOff>9525</xdr:rowOff>
                  </from>
                  <to>
                    <xdr:col>7</xdr:col>
                    <xdr:colOff>238125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" name="Button 78">
              <controlPr defaultSize="0" print="0" autoFill="0" autoLine="0" autoPict="0" macro="[0]!Optimise">
                <anchor moveWithCells="1" sizeWithCells="1">
                  <from>
                    <xdr:col>8</xdr:col>
                    <xdr:colOff>66675</xdr:colOff>
                    <xdr:row>14</xdr:row>
                    <xdr:rowOff>190500</xdr:rowOff>
                  </from>
                  <to>
                    <xdr:col>8</xdr:col>
                    <xdr:colOff>942975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" name="Button 79">
              <controlPr defaultSize="0" print="0" autoFill="0" autoPict="0" macro="[0]!SubRevenueFormula">
                <anchor moveWithCells="1" sizeWithCells="1">
                  <from>
                    <xdr:col>5</xdr:col>
                    <xdr:colOff>152400</xdr:colOff>
                    <xdr:row>22</xdr:row>
                    <xdr:rowOff>152400</xdr:rowOff>
                  </from>
                  <to>
                    <xdr:col>6</xdr:col>
                    <xdr:colOff>323850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8"/>
  <sheetViews>
    <sheetView workbookViewId="0">
      <selection activeCell="A2" sqref="A2:B18"/>
    </sheetView>
  </sheetViews>
  <sheetFormatPr defaultRowHeight="15" x14ac:dyDescent="0.2"/>
  <sheetData>
    <row r="1" spans="1:2" s="1" customFormat="1" ht="15.75" x14ac:dyDescent="0.25">
      <c r="A1" s="3" t="s">
        <v>0</v>
      </c>
      <c r="B1" s="3" t="s">
        <v>2</v>
      </c>
    </row>
    <row r="2" spans="1:2" x14ac:dyDescent="0.2">
      <c r="A2" s="4">
        <v>0</v>
      </c>
      <c r="B2" s="4">
        <v>0</v>
      </c>
    </row>
    <row r="3" spans="1:2" x14ac:dyDescent="0.2">
      <c r="A3" s="4">
        <v>25</v>
      </c>
      <c r="B3" s="4">
        <v>0.1</v>
      </c>
    </row>
    <row r="4" spans="1:2" x14ac:dyDescent="0.2">
      <c r="A4" s="4">
        <v>30</v>
      </c>
      <c r="B4" s="4">
        <v>0.2</v>
      </c>
    </row>
    <row r="5" spans="1:2" x14ac:dyDescent="0.2">
      <c r="A5" s="4">
        <v>35</v>
      </c>
      <c r="B5" s="4">
        <v>0.3</v>
      </c>
    </row>
    <row r="6" spans="1:2" x14ac:dyDescent="0.2">
      <c r="A6" s="4">
        <v>40</v>
      </c>
      <c r="B6" s="4">
        <v>0.4</v>
      </c>
    </row>
    <row r="7" spans="1:2" x14ac:dyDescent="0.2">
      <c r="A7" s="4">
        <v>45</v>
      </c>
      <c r="B7" s="4">
        <v>0.5</v>
      </c>
    </row>
    <row r="8" spans="1:2" x14ac:dyDescent="0.2">
      <c r="A8" s="4">
        <v>50</v>
      </c>
      <c r="B8" s="4">
        <v>0.6</v>
      </c>
    </row>
    <row r="9" spans="1:2" x14ac:dyDescent="0.2">
      <c r="A9" s="4">
        <v>55</v>
      </c>
      <c r="B9" s="4">
        <v>0.7</v>
      </c>
    </row>
    <row r="10" spans="1:2" x14ac:dyDescent="0.2">
      <c r="A10" s="4">
        <v>60</v>
      </c>
      <c r="B10" s="4">
        <v>0.8</v>
      </c>
    </row>
    <row r="11" spans="1:2" x14ac:dyDescent="0.2">
      <c r="A11" s="4">
        <v>65</v>
      </c>
      <c r="B11" s="4">
        <v>0.9</v>
      </c>
    </row>
    <row r="12" spans="1:2" x14ac:dyDescent="0.2">
      <c r="A12" s="4">
        <v>70</v>
      </c>
      <c r="B12" s="4">
        <v>1</v>
      </c>
    </row>
    <row r="13" spans="1:2" x14ac:dyDescent="0.2">
      <c r="A13" s="4">
        <v>75</v>
      </c>
      <c r="B13" s="4">
        <v>1.1000000000000001</v>
      </c>
    </row>
    <row r="14" spans="1:2" x14ac:dyDescent="0.2">
      <c r="A14" s="4">
        <v>80</v>
      </c>
      <c r="B14" s="4">
        <v>1.2</v>
      </c>
    </row>
    <row r="15" spans="1:2" x14ac:dyDescent="0.2">
      <c r="A15" s="4">
        <v>85</v>
      </c>
      <c r="B15" s="4">
        <v>1.3</v>
      </c>
    </row>
    <row r="16" spans="1:2" x14ac:dyDescent="0.2">
      <c r="A16" s="4">
        <v>90</v>
      </c>
      <c r="B16" s="4">
        <v>1.4</v>
      </c>
    </row>
    <row r="17" spans="1:2" x14ac:dyDescent="0.2">
      <c r="A17" s="4">
        <v>95</v>
      </c>
      <c r="B17" s="4">
        <v>1.5</v>
      </c>
    </row>
    <row r="18" spans="1:2" x14ac:dyDescent="0.2">
      <c r="A18" s="4">
        <v>100</v>
      </c>
      <c r="B18" s="4">
        <v>1.6</v>
      </c>
    </row>
  </sheetData>
  <phoneticPr fontId="1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F19" sqref="F19"/>
    </sheetView>
  </sheetViews>
  <sheetFormatPr defaultRowHeight="15" x14ac:dyDescent="0.2"/>
  <cols>
    <col min="1" max="1" width="10.44140625" customWidth="1"/>
    <col min="2" max="2" width="11.33203125" customWidth="1"/>
  </cols>
  <sheetData>
    <row r="1" spans="1:2" x14ac:dyDescent="0.2">
      <c r="A1" t="s">
        <v>8</v>
      </c>
      <c r="B1" t="s">
        <v>9</v>
      </c>
    </row>
    <row r="2" spans="1:2" x14ac:dyDescent="0.2">
      <c r="A2">
        <v>64</v>
      </c>
      <c r="B2">
        <v>76.800003051757813</v>
      </c>
    </row>
  </sheetData>
  <phoneticPr fontId="1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Tickets</vt:lpstr>
      <vt:lpstr>Discount</vt:lpstr>
      <vt:lpstr>System</vt:lpstr>
      <vt:lpstr>DiscountRange</vt:lpstr>
      <vt:lpstr>RevenueOutput</vt:lpstr>
      <vt:lpstr>TicketsInput</vt:lpstr>
      <vt:lpstr>WhatIf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Warwick Business School</dc:creator>
  <cp:lastModifiedBy>student</cp:lastModifiedBy>
  <cp:lastPrinted>2005-10-18T07:51:02Z</cp:lastPrinted>
  <dcterms:created xsi:type="dcterms:W3CDTF">2003-10-14T09:30:57Z</dcterms:created>
  <dcterms:modified xsi:type="dcterms:W3CDTF">2018-11-13T11:56:39Z</dcterms:modified>
</cp:coreProperties>
</file>