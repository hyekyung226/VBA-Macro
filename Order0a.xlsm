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E:\0.WBS\Lecture\Spreadsheet Modelling\Lesson 7\"/>
    </mc:Choice>
  </mc:AlternateContent>
  <bookViews>
    <workbookView xWindow="1890" yWindow="45" windowWidth="12855" windowHeight="9210" tabRatio="671"/>
  </bookViews>
  <sheets>
    <sheet name="Orders" sheetId="1" r:id="rId1"/>
    <sheet name="Products" sheetId="2" r:id="rId2"/>
    <sheet name="Discounts" sheetId="3" r:id="rId3"/>
    <sheet name="Frequency" sheetId="4" r:id="rId4"/>
  </sheets>
  <definedNames>
    <definedName name="_xlnm._FilterDatabase" localSheetId="0" hidden="1">Orders!$A$2:$G$12</definedName>
    <definedName name="Order_Jan" localSheetId="0">Orders!$I$2:$L$9</definedName>
    <definedName name="PartNumbers">Products!$A$3:$A$8</definedName>
  </definedNames>
  <calcPr calcId="162913"/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F9" i="1"/>
  <c r="F10" i="1"/>
  <c r="F11" i="1"/>
  <c r="F12" i="1"/>
  <c r="F3" i="1"/>
  <c r="E4" i="1"/>
  <c r="E5" i="1"/>
  <c r="E6" i="1"/>
  <c r="E7" i="1"/>
  <c r="E8" i="1"/>
  <c r="E9" i="1"/>
  <c r="E10" i="1"/>
  <c r="E11" i="1"/>
  <c r="E12" i="1"/>
  <c r="C4" i="1"/>
  <c r="C5" i="1"/>
  <c r="C6" i="1"/>
  <c r="C7" i="1"/>
  <c r="C8" i="1"/>
  <c r="C9" i="1"/>
  <c r="C10" i="1"/>
  <c r="C11" i="1"/>
  <c r="C12" i="1"/>
  <c r="E3" i="1"/>
  <c r="C3" i="1"/>
  <c r="G6" i="1" l="1"/>
  <c r="G11" i="1"/>
  <c r="G10" i="1"/>
  <c r="G12" i="1"/>
  <c r="G7" i="1"/>
  <c r="G3" i="1"/>
  <c r="G9" i="1"/>
  <c r="G5" i="1"/>
  <c r="G4" i="1"/>
  <c r="G8" i="1"/>
</calcChain>
</file>

<file path=xl/connections.xml><?xml version="1.0" encoding="utf-8"?>
<connections xmlns="http://schemas.openxmlformats.org/spreadsheetml/2006/main">
  <connection id="1" name="Order_Jan" type="6" refreshedVersion="6" background="1" saveData="1">
    <textPr codePage="437" sourceFile="E:\0.WBS\Lecture\Spreadsheet Modelling\Lesson 2\Order_Jan.dat" comma="1">
      <textFields count="4">
        <textField type="DMY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<sst xmlns="http://schemas.openxmlformats.org/spreadsheetml/2006/main" count="62" uniqueCount="37">
  <si>
    <t>Pentium Peripherals Ltd - Orders received : Order0</t>
  </si>
  <si>
    <t>Date</t>
  </si>
  <si>
    <t>Part #</t>
  </si>
  <si>
    <t>Description</t>
  </si>
  <si>
    <t>Quantity</t>
  </si>
  <si>
    <t>Discount</t>
  </si>
  <si>
    <t>Price each</t>
  </si>
  <si>
    <t>Order value</t>
  </si>
  <si>
    <t>Total</t>
  </si>
  <si>
    <t>Average</t>
  </si>
  <si>
    <t>Product Table</t>
  </si>
  <si>
    <t>Price</t>
  </si>
  <si>
    <t>P2822</t>
  </si>
  <si>
    <t>P3933</t>
  </si>
  <si>
    <t>P4001</t>
  </si>
  <si>
    <t>P5002</t>
  </si>
  <si>
    <t>Discount Table</t>
  </si>
  <si>
    <t>Applies to</t>
  </si>
  <si>
    <t>quantities:</t>
  </si>
  <si>
    <t>0-9</t>
  </si>
  <si>
    <t>10-49</t>
  </si>
  <si>
    <t>50-99</t>
  </si>
  <si>
    <t>100+</t>
  </si>
  <si>
    <t>Frequency Analysis</t>
  </si>
  <si>
    <t>Range</t>
  </si>
  <si>
    <t>Frequency of orders</t>
  </si>
  <si>
    <t>in this range</t>
  </si>
  <si>
    <t>P8000</t>
  </si>
  <si>
    <t>Optical mouse</t>
  </si>
  <si>
    <t>&lt;=0</t>
  </si>
  <si>
    <t>1-9</t>
  </si>
  <si>
    <t>Memory Stick 16Gb</t>
  </si>
  <si>
    <t>HD LED monitor 21.5"</t>
  </si>
  <si>
    <t>External hard drive 1Tb</t>
  </si>
  <si>
    <t>USB2 extension cable</t>
  </si>
  <si>
    <t>P1111</t>
  </si>
  <si>
    <t>8.5 GB DVD disk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</si>
</sst>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&quot;£&quot;#,##0.00"/>
  </numFmts>
  <fonts count="11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name val="Arial"/>
      <family val="2"/>
    </font>
    <font>
      <sz val="10"/>
      <color indexed="17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theme="9" tint="-0.499984740745262"/>
      <name val="Arial"/>
      <family val="2"/>
    </font>
    <font>
      <sz val="10"/>
      <color rgb="FF00B05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9">
    <xf numFmtId="0" fontId="0" fillId="0" borderId="0" xfId="0"/>
    <xf numFmtId="17" fontId="0" fillId="0" borderId="0" xfId="0" quotePrefix="1" applyNumberFormat="1"/>
    <xf numFmtId="0" fontId="0" fillId="0" borderId="0" xfId="0" applyAlignment="1">
      <alignment horizontal="centerContinuous"/>
    </xf>
    <xf numFmtId="0" fontId="3" fillId="0" borderId="0" xfId="0" applyFont="1" applyAlignment="1">
      <alignment horizontal="centerContinuous"/>
    </xf>
    <xf numFmtId="0" fontId="1" fillId="0" borderId="0" xfId="0" applyFont="1"/>
    <xf numFmtId="0" fontId="3" fillId="0" borderId="0" xfId="0" applyFont="1"/>
    <xf numFmtId="0" fontId="0" fillId="0" borderId="0" xfId="0" quotePrefix="1"/>
    <xf numFmtId="164" fontId="0" fillId="0" borderId="0" xfId="0" applyNumberFormat="1"/>
    <xf numFmtId="0" fontId="4" fillId="0" borderId="0" xfId="0" applyFont="1"/>
    <xf numFmtId="1" fontId="0" fillId="0" borderId="0" xfId="0" applyNumberFormat="1"/>
    <xf numFmtId="40" fontId="0" fillId="0" borderId="0" xfId="0" applyNumberFormat="1"/>
    <xf numFmtId="0" fontId="0" fillId="0" borderId="0" xfId="0" quotePrefix="1" applyAlignment="1">
      <alignment horizontal="center"/>
    </xf>
    <xf numFmtId="17" fontId="0" fillId="0" borderId="0" xfId="0" quotePrefix="1" applyNumberFormat="1" applyAlignment="1">
      <alignment horizontal="center"/>
    </xf>
    <xf numFmtId="0" fontId="3" fillId="0" borderId="0" xfId="0" applyFont="1" applyFill="1" applyAlignment="1">
      <alignment horizontal="centerContinuous"/>
    </xf>
    <xf numFmtId="0" fontId="1" fillId="2" borderId="1" xfId="0" applyFont="1" applyFill="1" applyBorder="1"/>
    <xf numFmtId="14" fontId="6" fillId="2" borderId="1" xfId="1" applyNumberFormat="1" applyFont="1" applyFill="1" applyBorder="1"/>
    <xf numFmtId="0" fontId="6" fillId="2" borderId="1" xfId="1" applyNumberFormat="1" applyFont="1" applyFill="1" applyBorder="1"/>
    <xf numFmtId="9" fontId="6" fillId="2" borderId="1" xfId="1" applyFont="1" applyFill="1" applyBorder="1"/>
    <xf numFmtId="0" fontId="6" fillId="2" borderId="1" xfId="0" applyNumberFormat="1" applyFont="1" applyFill="1" applyBorder="1"/>
    <xf numFmtId="1" fontId="6" fillId="2" borderId="1" xfId="1" applyNumberFormat="1" applyFont="1" applyFill="1" applyBorder="1"/>
    <xf numFmtId="0" fontId="5" fillId="2" borderId="1" xfId="0" applyFont="1" applyFill="1" applyBorder="1"/>
    <xf numFmtId="165" fontId="6" fillId="2" borderId="1" xfId="1" applyNumberFormat="1" applyFont="1" applyFill="1" applyBorder="1"/>
    <xf numFmtId="0" fontId="8" fillId="2" borderId="1" xfId="1" applyNumberFormat="1" applyFont="1" applyFill="1" applyBorder="1"/>
    <xf numFmtId="9" fontId="8" fillId="2" borderId="1" xfId="1" applyFont="1" applyFill="1" applyBorder="1"/>
    <xf numFmtId="165" fontId="8" fillId="2" borderId="1" xfId="0" applyNumberFormat="1" applyFont="1" applyFill="1" applyBorder="1"/>
    <xf numFmtId="165" fontId="9" fillId="2" borderId="1" xfId="0" applyNumberFormat="1" applyFont="1" applyFill="1" applyBorder="1"/>
    <xf numFmtId="0" fontId="2" fillId="0" borderId="0" xfId="0" quotePrefix="1" applyFont="1" applyAlignment="1">
      <alignment horizontal="center"/>
    </xf>
    <xf numFmtId="14" fontId="1" fillId="0" borderId="0" xfId="0" applyNumberFormat="1" applyFont="1"/>
    <xf numFmtId="14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12</xdr:row>
          <xdr:rowOff>133350</xdr:rowOff>
        </xdr:from>
        <xdr:to>
          <xdr:col>4</xdr:col>
          <xdr:colOff>762000</xdr:colOff>
          <xdr:row>16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my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419100</xdr:colOff>
          <xdr:row>14</xdr:row>
          <xdr:rowOff>0</xdr:rowOff>
        </xdr:from>
        <xdr:to>
          <xdr:col>6</xdr:col>
          <xdr:colOff>609600</xdr:colOff>
          <xdr:row>17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in the same sheet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Order_Jan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L32"/>
  <sheetViews>
    <sheetView tabSelected="1" zoomScale="140" workbookViewId="0">
      <selection activeCell="C18" sqref="C18"/>
    </sheetView>
  </sheetViews>
  <sheetFormatPr defaultRowHeight="12.75" x14ac:dyDescent="0.2"/>
  <cols>
    <col min="1" max="1" width="13.42578125" customWidth="1"/>
    <col min="2" max="2" width="10.85546875" customWidth="1"/>
    <col min="3" max="3" width="21.7109375" customWidth="1"/>
    <col min="4" max="4" width="8.5703125" customWidth="1"/>
    <col min="5" max="5" width="12.85546875" customWidth="1"/>
    <col min="6" max="6" width="10.7109375" customWidth="1"/>
    <col min="7" max="7" width="11.85546875" customWidth="1"/>
    <col min="9" max="9" width="11" bestFit="1" customWidth="1"/>
    <col min="10" max="10" width="6.7109375" customWidth="1"/>
    <col min="12" max="12" width="3.140625" customWidth="1"/>
  </cols>
  <sheetData>
    <row r="1" spans="1:12" ht="15.75" x14ac:dyDescent="0.25">
      <c r="A1" s="13" t="s">
        <v>0</v>
      </c>
      <c r="B1" s="13"/>
      <c r="C1" s="13"/>
      <c r="D1" s="13"/>
      <c r="E1" s="13"/>
      <c r="F1" s="13"/>
      <c r="G1" s="13"/>
    </row>
    <row r="2" spans="1:12" s="4" customFormat="1" x14ac:dyDescent="0.2">
      <c r="A2" s="14" t="s">
        <v>1</v>
      </c>
      <c r="B2" s="14" t="s">
        <v>2</v>
      </c>
      <c r="C2" s="14" t="s">
        <v>3</v>
      </c>
      <c r="D2" s="14" t="s">
        <v>4</v>
      </c>
      <c r="E2" s="14" t="s">
        <v>5</v>
      </c>
      <c r="F2" s="14" t="s">
        <v>6</v>
      </c>
      <c r="G2" s="14" t="s">
        <v>7</v>
      </c>
      <c r="H2"/>
      <c r="I2" s="27">
        <v>41670</v>
      </c>
      <c r="J2" s="4" t="s">
        <v>14</v>
      </c>
      <c r="L2" s="4">
        <v>1</v>
      </c>
    </row>
    <row r="3" spans="1:12" x14ac:dyDescent="0.2">
      <c r="A3" s="15">
        <v>41670</v>
      </c>
      <c r="B3" s="16" t="s">
        <v>14</v>
      </c>
      <c r="C3" s="22" t="str">
        <f>VLOOKUP(B3,Products!$A$4:$C$8,2,0)</f>
        <v>HD LED monitor 21.5"</v>
      </c>
      <c r="D3" s="16">
        <v>1</v>
      </c>
      <c r="E3" s="23">
        <f>VLOOKUP(D3,Discounts!$A$4:$B$7,2,1)</f>
        <v>0</v>
      </c>
      <c r="F3" s="24">
        <f>VLOOKUP(B3,Products!$A$4:$C$8,3,0)</f>
        <v>79.989999999999995</v>
      </c>
      <c r="G3" s="25">
        <f>D3*F3*(1-E3)</f>
        <v>79.989999999999995</v>
      </c>
      <c r="I3" s="28">
        <v>41641</v>
      </c>
      <c r="J3" t="s">
        <v>12</v>
      </c>
      <c r="L3">
        <v>35</v>
      </c>
    </row>
    <row r="4" spans="1:12" x14ac:dyDescent="0.2">
      <c r="A4" s="15">
        <v>41641</v>
      </c>
      <c r="B4" s="16" t="s">
        <v>12</v>
      </c>
      <c r="C4" s="22" t="str">
        <f>VLOOKUP(B4,Products!$A$4:$C$8,2,0)</f>
        <v>Optical mouse</v>
      </c>
      <c r="D4" s="16">
        <v>35</v>
      </c>
      <c r="E4" s="23">
        <f>VLOOKUP(D4,Discounts!$A$4:$B$7,2,1)</f>
        <v>0.05</v>
      </c>
      <c r="F4" s="24">
        <f>VLOOKUP(B4,Products!$A$4:$C$8,3,0)</f>
        <v>8.49</v>
      </c>
      <c r="G4" s="25">
        <f t="shared" ref="G4:G12" si="0">D4*F4*(1-E4)</f>
        <v>282.29250000000002</v>
      </c>
      <c r="I4" s="28">
        <v>41641</v>
      </c>
      <c r="J4" t="s">
        <v>15</v>
      </c>
      <c r="L4">
        <v>25</v>
      </c>
    </row>
    <row r="5" spans="1:12" x14ac:dyDescent="0.2">
      <c r="A5" s="15">
        <v>41641</v>
      </c>
      <c r="B5" s="16" t="s">
        <v>15</v>
      </c>
      <c r="C5" s="22" t="str">
        <f>VLOOKUP(B5,Products!$A$4:$C$8,2,0)</f>
        <v>External hard drive 1Tb</v>
      </c>
      <c r="D5" s="16">
        <v>25</v>
      </c>
      <c r="E5" s="23">
        <f>VLOOKUP(D5,Discounts!$A$4:$B$7,2,1)</f>
        <v>0.05</v>
      </c>
      <c r="F5" s="24">
        <f>VLOOKUP(B5,Products!$A$4:$C$8,3,0)</f>
        <v>47.49</v>
      </c>
      <c r="G5" s="25">
        <f t="shared" si="0"/>
        <v>1127.8875</v>
      </c>
      <c r="I5" s="28">
        <v>41649</v>
      </c>
      <c r="J5" t="s">
        <v>13</v>
      </c>
      <c r="L5">
        <v>10</v>
      </c>
    </row>
    <row r="6" spans="1:12" x14ac:dyDescent="0.2">
      <c r="A6" s="15">
        <v>41649</v>
      </c>
      <c r="B6" s="16" t="s">
        <v>13</v>
      </c>
      <c r="C6" s="22" t="str">
        <f>VLOOKUP(B6,Products!$A$4:$C$8,2,0)</f>
        <v>Memory Stick 16Gb</v>
      </c>
      <c r="D6" s="16">
        <v>10</v>
      </c>
      <c r="E6" s="23">
        <f>VLOOKUP(D6,Discounts!$A$4:$B$7,2,1)</f>
        <v>0.05</v>
      </c>
      <c r="F6" s="24">
        <f>VLOOKUP(B6,Products!$A$4:$C$8,3,0)</f>
        <v>6.99</v>
      </c>
      <c r="G6" s="25">
        <f t="shared" si="0"/>
        <v>66.405000000000001</v>
      </c>
      <c r="I6" s="28">
        <v>41646</v>
      </c>
      <c r="J6" t="s">
        <v>13</v>
      </c>
      <c r="L6">
        <v>8</v>
      </c>
    </row>
    <row r="7" spans="1:12" x14ac:dyDescent="0.2">
      <c r="A7" s="15">
        <v>41646</v>
      </c>
      <c r="B7" s="16" t="s">
        <v>13</v>
      </c>
      <c r="C7" s="22" t="str">
        <f>VLOOKUP(B7,Products!$A$4:$C$8,2,0)</f>
        <v>Memory Stick 16Gb</v>
      </c>
      <c r="D7" s="16">
        <v>8</v>
      </c>
      <c r="E7" s="23">
        <f>VLOOKUP(D7,Discounts!$A$4:$B$7,2,1)</f>
        <v>0</v>
      </c>
      <c r="F7" s="24">
        <f>VLOOKUP(B7,Products!$A$4:$C$8,3,0)</f>
        <v>6.99</v>
      </c>
      <c r="G7" s="25">
        <f t="shared" si="0"/>
        <v>55.92</v>
      </c>
      <c r="I7" s="28">
        <v>41653</v>
      </c>
      <c r="J7" t="s">
        <v>12</v>
      </c>
      <c r="L7">
        <v>95</v>
      </c>
    </row>
    <row r="8" spans="1:12" x14ac:dyDescent="0.2">
      <c r="A8" s="15">
        <v>41653</v>
      </c>
      <c r="B8" s="16" t="s">
        <v>12</v>
      </c>
      <c r="C8" s="22" t="str">
        <f>VLOOKUP(B8,Products!$A$4:$C$8,2,0)</f>
        <v>Optical mouse</v>
      </c>
      <c r="D8" s="16">
        <v>95</v>
      </c>
      <c r="E8" s="23">
        <f>VLOOKUP(D8,Discounts!$A$4:$B$7,2,1)</f>
        <v>0.1</v>
      </c>
      <c r="F8" s="24">
        <f>VLOOKUP(B8,Products!$A$4:$C$8,3,0)</f>
        <v>8.49</v>
      </c>
      <c r="G8" s="25">
        <f t="shared" si="0"/>
        <v>725.8950000000001</v>
      </c>
      <c r="I8" s="28">
        <v>41650</v>
      </c>
      <c r="J8" t="s">
        <v>14</v>
      </c>
      <c r="L8">
        <v>17</v>
      </c>
    </row>
    <row r="9" spans="1:12" x14ac:dyDescent="0.2">
      <c r="A9" s="15">
        <v>41650</v>
      </c>
      <c r="B9" s="16" t="s">
        <v>14</v>
      </c>
      <c r="C9" s="22" t="str">
        <f>VLOOKUP(B9,Products!$A$4:$C$8,2,0)</f>
        <v>HD LED monitor 21.5"</v>
      </c>
      <c r="D9" s="16">
        <v>17</v>
      </c>
      <c r="E9" s="23">
        <f>VLOOKUP(D9,Discounts!$A$4:$B$7,2,1)</f>
        <v>0.05</v>
      </c>
      <c r="F9" s="24">
        <f>VLOOKUP(B9,Products!$A$4:$C$8,3,0)</f>
        <v>79.989999999999995</v>
      </c>
      <c r="G9" s="25">
        <f t="shared" si="0"/>
        <v>1291.8384999999998</v>
      </c>
      <c r="H9" s="4"/>
      <c r="I9" s="28">
        <v>41661</v>
      </c>
      <c r="J9" t="s">
        <v>12</v>
      </c>
      <c r="L9">
        <v>22</v>
      </c>
    </row>
    <row r="10" spans="1:12" x14ac:dyDescent="0.2">
      <c r="A10" s="15">
        <v>41661</v>
      </c>
      <c r="B10" s="18" t="s">
        <v>12</v>
      </c>
      <c r="C10" s="22" t="str">
        <f>VLOOKUP(B10,Products!$A$4:$C$8,2,0)</f>
        <v>Optical mouse</v>
      </c>
      <c r="D10" s="18">
        <v>22</v>
      </c>
      <c r="E10" s="23">
        <f>VLOOKUP(D10,Discounts!$A$4:$B$7,2,1)</f>
        <v>0.05</v>
      </c>
      <c r="F10" s="24">
        <f>VLOOKUP(B10,Products!$A$4:$C$8,3,0)</f>
        <v>8.49</v>
      </c>
      <c r="G10" s="25">
        <f t="shared" si="0"/>
        <v>177.441</v>
      </c>
      <c r="H10" s="4"/>
    </row>
    <row r="11" spans="1:12" x14ac:dyDescent="0.2">
      <c r="A11" s="15"/>
      <c r="B11" s="18"/>
      <c r="C11" s="22" t="e">
        <f>VLOOKUP(B11,Products!$A$4:$C$8,2,0)</f>
        <v>#N/A</v>
      </c>
      <c r="D11" s="18"/>
      <c r="E11" s="23">
        <f>VLOOKUP(D11,Discounts!$A$4:$B$7,2,1)</f>
        <v>0</v>
      </c>
      <c r="F11" s="24" t="e">
        <f>VLOOKUP(B11,Products!$A$4:$C$8,3,0)</f>
        <v>#N/A</v>
      </c>
      <c r="G11" s="25" t="e">
        <f t="shared" si="0"/>
        <v>#N/A</v>
      </c>
      <c r="H11" s="4"/>
    </row>
    <row r="12" spans="1:12" x14ac:dyDescent="0.2">
      <c r="A12" s="15"/>
      <c r="B12" s="18"/>
      <c r="C12" s="22" t="e">
        <f>VLOOKUP(B12,Products!$A$4:$C$8,2,0)</f>
        <v>#N/A</v>
      </c>
      <c r="D12" s="18"/>
      <c r="E12" s="23">
        <f>VLOOKUP(D12,Discounts!$A$4:$B$7,2,1)</f>
        <v>0</v>
      </c>
      <c r="F12" s="24" t="e">
        <f>VLOOKUP(B12,Products!$A$4:$C$8,3,0)</f>
        <v>#N/A</v>
      </c>
      <c r="G12" s="25" t="e">
        <f t="shared" si="0"/>
        <v>#N/A</v>
      </c>
      <c r="H12" s="4"/>
    </row>
    <row r="14" spans="1:12" ht="15.75" x14ac:dyDescent="0.25">
      <c r="A14" s="8" t="s">
        <v>8</v>
      </c>
      <c r="D14" s="9"/>
      <c r="G14" s="10"/>
    </row>
    <row r="15" spans="1:12" ht="15.75" x14ac:dyDescent="0.25">
      <c r="A15" s="8" t="s">
        <v>9</v>
      </c>
      <c r="D15" s="9"/>
      <c r="G15" s="10"/>
    </row>
    <row r="18" spans="1:7" ht="15.75" x14ac:dyDescent="0.25">
      <c r="A18" s="3"/>
      <c r="B18" s="3"/>
      <c r="C18" s="3"/>
      <c r="E18" s="5"/>
    </row>
    <row r="19" spans="1:7" x14ac:dyDescent="0.2">
      <c r="A19" s="4"/>
      <c r="B19" s="4"/>
      <c r="C19" s="4"/>
    </row>
    <row r="20" spans="1:7" x14ac:dyDescent="0.2">
      <c r="G20" s="6"/>
    </row>
    <row r="21" spans="1:7" x14ac:dyDescent="0.2">
      <c r="G21" s="1"/>
    </row>
    <row r="22" spans="1:7" x14ac:dyDescent="0.2">
      <c r="G22" s="6"/>
    </row>
    <row r="23" spans="1:7" x14ac:dyDescent="0.2">
      <c r="G23" s="6"/>
    </row>
    <row r="26" spans="1:7" ht="15.75" x14ac:dyDescent="0.25">
      <c r="A26" s="3"/>
      <c r="B26" s="2"/>
      <c r="C26" s="2"/>
      <c r="D26" s="2"/>
    </row>
    <row r="28" spans="1:7" x14ac:dyDescent="0.2">
      <c r="B28" s="7"/>
    </row>
    <row r="29" spans="1:7" x14ac:dyDescent="0.2">
      <c r="B29" s="7"/>
      <c r="C29" s="6"/>
    </row>
    <row r="30" spans="1:7" x14ac:dyDescent="0.2">
      <c r="B30" s="7"/>
      <c r="C30" s="1"/>
    </row>
    <row r="31" spans="1:7" x14ac:dyDescent="0.2">
      <c r="B31" s="7"/>
      <c r="C31" s="6"/>
    </row>
    <row r="32" spans="1:7" x14ac:dyDescent="0.2">
      <c r="C32" s="6"/>
    </row>
  </sheetData>
  <phoneticPr fontId="7" type="noConversion"/>
  <dataValidations count="1">
    <dataValidation type="list" allowBlank="1" showInputMessage="1" showErrorMessage="1" errorTitle="error" sqref="B3:B12">
      <formula1>PartNumbers</formula1>
    </dataValidation>
  </dataValidations>
  <pageMargins left="0.75" right="0.75" top="1" bottom="1" header="0.5" footer="0.5"/>
  <pageSetup paperSize="9" scale="96" orientation="portrait" horizontalDpi="0" r:id="rId1"/>
  <headerFooter alignWithMargins="0">
    <oddHeader>ORDER1.XLS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dule3.Macro1">
                <anchor moveWithCells="1" sizeWithCells="1">
                  <from>
                    <xdr:col>4</xdr:col>
                    <xdr:colOff>133350</xdr:colOff>
                    <xdr:row>12</xdr:row>
                    <xdr:rowOff>133350</xdr:rowOff>
                  </from>
                  <to>
                    <xdr:col>4</xdr:col>
                    <xdr:colOff>762000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cro2">
                <anchor moveWithCells="1" sizeWithCells="1">
                  <from>
                    <xdr:col>5</xdr:col>
                    <xdr:colOff>419100</xdr:colOff>
                    <xdr:row>14</xdr:row>
                    <xdr:rowOff>0</xdr:rowOff>
                  </from>
                  <to>
                    <xdr:col>6</xdr:col>
                    <xdr:colOff>609600</xdr:colOff>
                    <xdr:row>17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8"/>
  <sheetViews>
    <sheetView workbookViewId="0">
      <selection activeCell="F14" sqref="F14"/>
    </sheetView>
  </sheetViews>
  <sheetFormatPr defaultRowHeight="12.75" x14ac:dyDescent="0.2"/>
  <cols>
    <col min="1" max="1" width="6.85546875" customWidth="1"/>
    <col min="2" max="2" width="21.140625" customWidth="1"/>
    <col min="3" max="3" width="8.28515625" customWidth="1"/>
  </cols>
  <sheetData>
    <row r="1" spans="1:4" s="5" customFormat="1" ht="15.75" x14ac:dyDescent="0.25">
      <c r="A1" s="3" t="s">
        <v>10</v>
      </c>
      <c r="B1" s="3"/>
      <c r="C1" s="3"/>
    </row>
    <row r="2" spans="1:4" s="4" customFormat="1" x14ac:dyDescent="0.2">
      <c r="A2" s="4" t="s">
        <v>2</v>
      </c>
      <c r="B2" s="4" t="s">
        <v>3</v>
      </c>
      <c r="C2" s="4" t="s">
        <v>11</v>
      </c>
    </row>
    <row r="3" spans="1:4" x14ac:dyDescent="0.2">
      <c r="A3" s="16" t="s">
        <v>35</v>
      </c>
      <c r="B3" s="16" t="s">
        <v>36</v>
      </c>
      <c r="C3" s="21">
        <v>0.99</v>
      </c>
    </row>
    <row r="4" spans="1:4" x14ac:dyDescent="0.2">
      <c r="A4" s="16" t="s">
        <v>12</v>
      </c>
      <c r="B4" s="16" t="s">
        <v>28</v>
      </c>
      <c r="C4" s="21">
        <v>8.49</v>
      </c>
      <c r="D4" s="4"/>
    </row>
    <row r="5" spans="1:4" x14ac:dyDescent="0.2">
      <c r="A5" s="16" t="s">
        <v>13</v>
      </c>
      <c r="B5" s="16" t="s">
        <v>31</v>
      </c>
      <c r="C5" s="21">
        <v>6.99</v>
      </c>
      <c r="D5" s="4"/>
    </row>
    <row r="6" spans="1:4" x14ac:dyDescent="0.2">
      <c r="A6" s="16" t="s">
        <v>14</v>
      </c>
      <c r="B6" s="16" t="s">
        <v>32</v>
      </c>
      <c r="C6" s="21">
        <v>79.989999999999995</v>
      </c>
    </row>
    <row r="7" spans="1:4" x14ac:dyDescent="0.2">
      <c r="A7" s="16" t="s">
        <v>15</v>
      </c>
      <c r="B7" s="16" t="s">
        <v>33</v>
      </c>
      <c r="C7" s="21">
        <v>47.49</v>
      </c>
    </row>
    <row r="8" spans="1:4" x14ac:dyDescent="0.2">
      <c r="A8" s="16" t="s">
        <v>27</v>
      </c>
      <c r="B8" s="16" t="s">
        <v>34</v>
      </c>
      <c r="C8" s="21">
        <v>3.24</v>
      </c>
      <c r="D8" s="4"/>
    </row>
  </sheetData>
  <phoneticPr fontId="7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7"/>
  <sheetViews>
    <sheetView zoomScale="200" workbookViewId="0">
      <selection activeCell="C15" sqref="C15"/>
    </sheetView>
  </sheetViews>
  <sheetFormatPr defaultRowHeight="12.75" x14ac:dyDescent="0.2"/>
  <sheetData>
    <row r="1" spans="1:3" ht="15.75" x14ac:dyDescent="0.25">
      <c r="A1" s="5" t="s">
        <v>16</v>
      </c>
    </row>
    <row r="2" spans="1:3" x14ac:dyDescent="0.2">
      <c r="A2" s="4" t="s">
        <v>4</v>
      </c>
      <c r="B2" s="4" t="s">
        <v>5</v>
      </c>
      <c r="C2" s="4" t="s">
        <v>17</v>
      </c>
    </row>
    <row r="3" spans="1:3" x14ac:dyDescent="0.2">
      <c r="A3" s="4"/>
      <c r="B3" s="4"/>
      <c r="C3" s="4" t="s">
        <v>18</v>
      </c>
    </row>
    <row r="4" spans="1:3" x14ac:dyDescent="0.2">
      <c r="A4" s="16">
        <v>0</v>
      </c>
      <c r="B4" s="17">
        <v>0</v>
      </c>
      <c r="C4" s="11" t="s">
        <v>19</v>
      </c>
    </row>
    <row r="5" spans="1:3" x14ac:dyDescent="0.2">
      <c r="A5" s="19">
        <v>10</v>
      </c>
      <c r="B5" s="17">
        <v>0.05</v>
      </c>
      <c r="C5" s="12" t="s">
        <v>20</v>
      </c>
    </row>
    <row r="6" spans="1:3" x14ac:dyDescent="0.2">
      <c r="A6" s="16">
        <v>50</v>
      </c>
      <c r="B6" s="17">
        <v>0.1</v>
      </c>
      <c r="C6" s="11" t="s">
        <v>21</v>
      </c>
    </row>
    <row r="7" spans="1:3" x14ac:dyDescent="0.2">
      <c r="A7" s="16">
        <v>100</v>
      </c>
      <c r="B7" s="17">
        <v>0.15</v>
      </c>
      <c r="C7" s="11" t="s">
        <v>22</v>
      </c>
    </row>
  </sheetData>
  <phoneticPr fontId="7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8"/>
  <sheetViews>
    <sheetView zoomScale="170" zoomScaleNormal="170" workbookViewId="0">
      <selection activeCell="E11" sqref="E11"/>
    </sheetView>
  </sheetViews>
  <sheetFormatPr defaultRowHeight="12.75" x14ac:dyDescent="0.2"/>
  <cols>
    <col min="1" max="1" width="9.85546875" customWidth="1"/>
    <col min="2" max="2" width="12" customWidth="1"/>
    <col min="3" max="3" width="19.140625" customWidth="1"/>
    <col min="4" max="4" width="9.7109375" customWidth="1"/>
  </cols>
  <sheetData>
    <row r="1" spans="1:4" ht="15.75" x14ac:dyDescent="0.25">
      <c r="A1" s="3" t="s">
        <v>23</v>
      </c>
      <c r="B1" s="2"/>
      <c r="C1" s="2"/>
      <c r="D1" s="2"/>
    </row>
    <row r="2" spans="1:4" x14ac:dyDescent="0.2">
      <c r="A2" s="4" t="s">
        <v>4</v>
      </c>
      <c r="B2" s="4" t="s">
        <v>24</v>
      </c>
      <c r="C2" s="4" t="s">
        <v>25</v>
      </c>
    </row>
    <row r="3" spans="1:4" x14ac:dyDescent="0.2">
      <c r="A3" s="4"/>
      <c r="B3" s="4" t="s">
        <v>3</v>
      </c>
      <c r="C3" s="4" t="s">
        <v>26</v>
      </c>
    </row>
    <row r="4" spans="1:4" x14ac:dyDescent="0.2">
      <c r="A4" s="16">
        <v>0</v>
      </c>
      <c r="B4" s="26" t="s">
        <v>29</v>
      </c>
      <c r="C4" s="20"/>
    </row>
    <row r="5" spans="1:4" x14ac:dyDescent="0.2">
      <c r="A5" s="16">
        <v>9</v>
      </c>
      <c r="B5" s="26" t="s">
        <v>30</v>
      </c>
      <c r="C5" s="20"/>
    </row>
    <row r="6" spans="1:4" x14ac:dyDescent="0.2">
      <c r="A6" s="16">
        <v>49</v>
      </c>
      <c r="B6" s="12" t="s">
        <v>20</v>
      </c>
      <c r="C6" s="20"/>
    </row>
    <row r="7" spans="1:4" x14ac:dyDescent="0.2">
      <c r="A7" s="16">
        <v>99</v>
      </c>
      <c r="B7" s="11" t="s">
        <v>21</v>
      </c>
      <c r="C7" s="20"/>
    </row>
    <row r="8" spans="1:4" x14ac:dyDescent="0.2">
      <c r="B8" s="11" t="s">
        <v>22</v>
      </c>
      <c r="C8" s="20"/>
    </row>
  </sheetData>
  <phoneticPr fontId="7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Orders</vt:lpstr>
      <vt:lpstr>Products</vt:lpstr>
      <vt:lpstr>Discounts</vt:lpstr>
      <vt:lpstr>Frequency</vt:lpstr>
      <vt:lpstr>Orders!Order_Jan</vt:lpstr>
      <vt:lpstr>PartNumbers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Preferred Customer</dc:creator>
  <cp:lastModifiedBy>student</cp:lastModifiedBy>
  <dcterms:created xsi:type="dcterms:W3CDTF">2004-10-01T14:23:18Z</dcterms:created>
  <dcterms:modified xsi:type="dcterms:W3CDTF">2018-10-30T12:09:14Z</dcterms:modified>
</cp:coreProperties>
</file>