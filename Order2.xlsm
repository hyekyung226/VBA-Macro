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0.School\1.WBS\Lecture\Spreadsheet Modelling\Workshop\111318\"/>
    </mc:Choice>
  </mc:AlternateContent>
  <bookViews>
    <workbookView xWindow="285" yWindow="-150" windowWidth="12150" windowHeight="5565" tabRatio="671"/>
  </bookViews>
  <sheets>
    <sheet name="Orders" sheetId="1" r:id="rId1"/>
    <sheet name="Products" sheetId="2" r:id="rId2"/>
    <sheet name="Discounts" sheetId="3" r:id="rId3"/>
    <sheet name="Frequency" sheetId="4" r:id="rId4"/>
  </sheets>
  <definedNames>
    <definedName name="_xlnm._FilterDatabase" localSheetId="0" hidden="1">Orders!$A$2:$G$13</definedName>
    <definedName name="data">Orders!$A$2:$G$13</definedName>
    <definedName name="discounts">Discounts!$A$4:$B$7</definedName>
    <definedName name="FileName">Orders!$A$21</definedName>
    <definedName name="FilePath">Orders!$A$20</definedName>
    <definedName name="PartNumbers">Products!$A$3:$A$8</definedName>
    <definedName name="Parts">Orders!$B$3:$B$9</definedName>
    <definedName name="ProductDetails">Products!$A$3:$C$8</definedName>
    <definedName name="quantities">Orders!$D$3:$D$13</definedName>
  </definedNames>
  <calcPr calcId="162913"/>
</workbook>
</file>

<file path=xl/calcChain.xml><?xml version="1.0" encoding="utf-8"?>
<calcChain xmlns="http://schemas.openxmlformats.org/spreadsheetml/2006/main">
  <c r="E8" i="1" l="1"/>
  <c r="E9" i="1"/>
  <c r="E4" i="1"/>
  <c r="G4" i="1" s="1"/>
  <c r="E5" i="1"/>
  <c r="G5" i="1" s="1"/>
  <c r="E6" i="1"/>
  <c r="G6" i="1" s="1"/>
  <c r="E7" i="1"/>
  <c r="G7" i="1" s="1"/>
  <c r="G3" i="1"/>
  <c r="C4" i="4" a="1"/>
  <c r="C8" i="4" s="1"/>
  <c r="D16" i="1"/>
  <c r="D15" i="1"/>
  <c r="G16" i="1" l="1"/>
  <c r="C7" i="4"/>
  <c r="C5" i="4"/>
  <c r="C6" i="4"/>
  <c r="C4" i="4"/>
  <c r="G15" i="1"/>
</calcChain>
</file>

<file path=xl/sharedStrings.xml><?xml version="1.0" encoding="utf-8"?>
<sst xmlns="http://schemas.openxmlformats.org/spreadsheetml/2006/main" count="58" uniqueCount="42">
  <si>
    <t>Date</t>
  </si>
  <si>
    <t>Part #</t>
  </si>
  <si>
    <t>Description</t>
  </si>
  <si>
    <t>Quantity</t>
  </si>
  <si>
    <t>Discount</t>
  </si>
  <si>
    <t>Price each</t>
  </si>
  <si>
    <t>Order value</t>
  </si>
  <si>
    <t>P3933</t>
  </si>
  <si>
    <t>P2822</t>
  </si>
  <si>
    <t>P4001</t>
  </si>
  <si>
    <t>Total</t>
  </si>
  <si>
    <t>Average</t>
  </si>
  <si>
    <t>Product Table</t>
  </si>
  <si>
    <t>Price</t>
  </si>
  <si>
    <t>NB the lookup table must be</t>
  </si>
  <si>
    <t>sorted in sequence of the</t>
  </si>
  <si>
    <t>'lookup' column</t>
  </si>
  <si>
    <t>P5002</t>
  </si>
  <si>
    <t>Discount Table</t>
  </si>
  <si>
    <t>Applies to</t>
  </si>
  <si>
    <t>quantities:</t>
  </si>
  <si>
    <t>0-9</t>
  </si>
  <si>
    <t>10-49</t>
  </si>
  <si>
    <t>50-99</t>
  </si>
  <si>
    <t>100+</t>
  </si>
  <si>
    <t>Frequency Analysis</t>
  </si>
  <si>
    <t>Range</t>
  </si>
  <si>
    <t>Frequency of orders</t>
  </si>
  <si>
    <t>in this range</t>
  </si>
  <si>
    <t>P8000</t>
  </si>
  <si>
    <t>Pentium Peripherals Ltd - Orders received : Order2</t>
  </si>
  <si>
    <t>Optical mouse</t>
  </si>
  <si>
    <t>&lt;=0</t>
  </si>
  <si>
    <t>1-9</t>
  </si>
  <si>
    <t>P1111</t>
  </si>
  <si>
    <t>8.5 GB DVD disk</t>
  </si>
  <si>
    <t>Memory Stick 16Gb</t>
  </si>
  <si>
    <t>HD LED monitor 21.5"</t>
  </si>
  <si>
    <t>External hard drive 1Tb</t>
  </si>
  <si>
    <t>USB2 extension cable</t>
  </si>
  <si>
    <t>Order_Feb.dat</t>
  </si>
  <si>
    <t>E:\0.School\1.WBS\Lecture\Spreadsheet Modelling\Lesson 2\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</si>
</sst>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£&quot;#,##0.00;\-&quot;£&quot;#,##0.00"/>
    <numFmt numFmtId="164" formatCode="0.0"/>
    <numFmt numFmtId="165" formatCode="&quot;£&quot;#,##0.00"/>
  </numFmts>
  <fonts count="1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2"/>
      <name val="Arial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color theme="9" tint="-0.499984740745262"/>
      <name val="Arial"/>
      <family val="2"/>
    </font>
    <font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8">
    <xf numFmtId="0" fontId="0" fillId="0" borderId="0" xfId="0"/>
    <xf numFmtId="17" fontId="0" fillId="0" borderId="0" xfId="0" quotePrefix="1" applyNumberFormat="1"/>
    <xf numFmtId="0" fontId="0" fillId="0" borderId="0" xfId="0" applyAlignment="1">
      <alignment horizontal="centerContinuous"/>
    </xf>
    <xf numFmtId="0" fontId="4" fillId="0" borderId="0" xfId="0" applyFont="1" applyAlignment="1">
      <alignment horizontal="centerContinuous"/>
    </xf>
    <xf numFmtId="0" fontId="1" fillId="0" borderId="0" xfId="0" applyFont="1"/>
    <xf numFmtId="0" fontId="4" fillId="0" borderId="0" xfId="0" applyFont="1"/>
    <xf numFmtId="0" fontId="0" fillId="0" borderId="0" xfId="0" quotePrefix="1"/>
    <xf numFmtId="164" fontId="0" fillId="0" borderId="0" xfId="0" applyNumberFormat="1"/>
    <xf numFmtId="0" fontId="5" fillId="0" borderId="0" xfId="0" applyFont="1"/>
    <xf numFmtId="0" fontId="0" fillId="0" borderId="0" xfId="0" quotePrefix="1" applyAlignment="1">
      <alignment horizontal="center"/>
    </xf>
    <xf numFmtId="17" fontId="0" fillId="0" borderId="0" xfId="0" quotePrefix="1" applyNumberFormat="1" applyAlignment="1">
      <alignment horizontal="center"/>
    </xf>
    <xf numFmtId="0" fontId="0" fillId="0" borderId="0" xfId="0" applyAlignment="1"/>
    <xf numFmtId="0" fontId="4" fillId="2" borderId="0" xfId="0" applyFont="1" applyFill="1" applyAlignment="1">
      <alignment horizontal="centerContinuous"/>
    </xf>
    <xf numFmtId="1" fontId="7" fillId="0" borderId="0" xfId="0" applyNumberFormat="1" applyFont="1"/>
    <xf numFmtId="0" fontId="7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4" fillId="2" borderId="0" xfId="0" applyFont="1" applyFill="1" applyAlignment="1">
      <alignment horizontal="left"/>
    </xf>
    <xf numFmtId="0" fontId="6" fillId="3" borderId="0" xfId="0" applyFont="1" applyFill="1"/>
    <xf numFmtId="7" fontId="6" fillId="3" borderId="0" xfId="0" applyNumberFormat="1" applyFont="1" applyFill="1"/>
    <xf numFmtId="14" fontId="6" fillId="3" borderId="0" xfId="0" applyNumberFormat="1" applyFont="1" applyFill="1"/>
    <xf numFmtId="0" fontId="1" fillId="3" borderId="0" xfId="0" applyFont="1" applyFill="1"/>
    <xf numFmtId="15" fontId="6" fillId="3" borderId="0" xfId="0" applyNumberFormat="1" applyFont="1" applyFill="1"/>
    <xf numFmtId="1" fontId="6" fillId="3" borderId="0" xfId="0" applyNumberFormat="1" applyFont="1" applyFill="1"/>
    <xf numFmtId="9" fontId="6" fillId="3" borderId="0" xfId="1" applyFont="1" applyFill="1"/>
    <xf numFmtId="0" fontId="7" fillId="3" borderId="0" xfId="0" applyFont="1" applyFill="1" applyAlignment="1">
      <alignment horizontal="center"/>
    </xf>
    <xf numFmtId="0" fontId="0" fillId="0" borderId="0" xfId="0" applyFill="1"/>
    <xf numFmtId="165" fontId="7" fillId="0" borderId="0" xfId="0" applyNumberFormat="1" applyFont="1"/>
    <xf numFmtId="0" fontId="6" fillId="3" borderId="0" xfId="1" applyNumberFormat="1" applyFont="1" applyFill="1" applyBorder="1"/>
    <xf numFmtId="165" fontId="6" fillId="3" borderId="0" xfId="1" applyNumberFormat="1" applyFont="1" applyFill="1" applyBorder="1"/>
    <xf numFmtId="0" fontId="6" fillId="0" borderId="0" xfId="0" quotePrefix="1" applyFont="1" applyAlignment="1">
      <alignment horizontal="center"/>
    </xf>
    <xf numFmtId="14" fontId="8" fillId="3" borderId="0" xfId="0" applyNumberFormat="1" applyFont="1" applyFill="1"/>
    <xf numFmtId="0" fontId="8" fillId="3" borderId="0" xfId="0" applyFont="1" applyFill="1"/>
    <xf numFmtId="9" fontId="8" fillId="3" borderId="0" xfId="1" applyFont="1" applyFill="1"/>
    <xf numFmtId="2" fontId="8" fillId="3" borderId="0" xfId="0" applyNumberFormat="1" applyFont="1" applyFill="1"/>
    <xf numFmtId="165" fontId="9" fillId="3" borderId="0" xfId="0" applyNumberFormat="1" applyFont="1" applyFill="1"/>
    <xf numFmtId="2" fontId="9" fillId="3" borderId="0" xfId="0" applyNumberFormat="1" applyFont="1" applyFill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Order quantities:
 frequency analysis</a:t>
            </a:r>
          </a:p>
        </c:rich>
      </c:tx>
      <c:layout>
        <c:manualLayout>
          <c:xMode val="edge"/>
          <c:yMode val="edge"/>
          <c:x val="0.26315789473684209"/>
          <c:y val="3.98230088495575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045112781954886"/>
          <c:y val="0.28318645254263286"/>
          <c:w val="0.79699248120300747"/>
          <c:h val="0.526549810196457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Frequency!$B$4:$B$8</c:f>
              <c:strCache>
                <c:ptCount val="5"/>
                <c:pt idx="0">
                  <c:v>&lt;=0</c:v>
                </c:pt>
                <c:pt idx="1">
                  <c:v>1-9</c:v>
                </c:pt>
                <c:pt idx="2">
                  <c:v>10-49</c:v>
                </c:pt>
                <c:pt idx="3">
                  <c:v>50-99</c:v>
                </c:pt>
                <c:pt idx="4">
                  <c:v>100+</c:v>
                </c:pt>
              </c:strCache>
            </c:strRef>
          </c:cat>
          <c:val>
            <c:numRef>
              <c:f>Frequency!$C$4:$C$8</c:f>
              <c:numCache>
                <c:formatCode>General</c:formatCode>
                <c:ptCount val="5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9-4F73-9241-844830704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185336"/>
        <c:axId val="318185728"/>
      </c:barChart>
      <c:catAx>
        <c:axId val="318185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Quantity</a:t>
                </a:r>
              </a:p>
            </c:rich>
          </c:tx>
          <c:layout>
            <c:manualLayout>
              <c:xMode val="edge"/>
              <c:yMode val="edge"/>
              <c:x val="0.48872180451127817"/>
              <c:y val="0.876108052865073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1857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81857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Frequency</a:t>
                </a:r>
              </a:p>
            </c:rich>
          </c:tx>
          <c:layout>
            <c:manualLayout>
              <c:xMode val="edge"/>
              <c:yMode val="edge"/>
              <c:x val="3.3834586466165412E-2"/>
              <c:y val="0.415930132627226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1853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1</xdr:row>
          <xdr:rowOff>47625</xdr:rowOff>
        </xdr:from>
        <xdr:to>
          <xdr:col>8</xdr:col>
          <xdr:colOff>419100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4</xdr:row>
          <xdr:rowOff>66675</xdr:rowOff>
        </xdr:from>
        <xdr:to>
          <xdr:col>12</xdr:col>
          <xdr:colOff>323850</xdr:colOff>
          <xdr:row>11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Validate and look up details for a part </a:t>
              </a:r>
              <a:r>
                <a:rPr lang="en-GB" sz="11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directly</a:t>
              </a:r>
              <a:r>
                <a:rPr lang="en-GB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, illustrating the program steps. </a:t>
              </a:r>
              <a:endPara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(First select a part # cell in column B,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and step through the 'Validate_and_Lookup_Demo' macro in the VBA Editor, with both the editor and the worksheet visible)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66675</xdr:rowOff>
        </xdr:from>
        <xdr:to>
          <xdr:col>12</xdr:col>
          <xdr:colOff>276225</xdr:colOff>
          <xdr:row>15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Validate and look up details for a part, 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using </a:t>
              </a:r>
              <a:r>
                <a:rPr lang="en-GB" sz="11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remote</a:t>
              </a:r>
              <a:r>
                <a:rPr lang="en-GB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access to the parts page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(first select a part # you have entered)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</xdr:row>
      <xdr:rowOff>95250</xdr:rowOff>
    </xdr:from>
    <xdr:to>
      <xdr:col>7</xdr:col>
      <xdr:colOff>247650</xdr:colOff>
      <xdr:row>14</xdr:row>
      <xdr:rowOff>142875</xdr:rowOff>
    </xdr:to>
    <xdr:graphicFrame macro="">
      <xdr:nvGraphicFramePr>
        <xdr:cNvPr id="207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2"/>
  <sheetViews>
    <sheetView tabSelected="1" zoomScale="115" zoomScaleNormal="115" workbookViewId="0">
      <selection activeCell="A20" sqref="A20"/>
    </sheetView>
  </sheetViews>
  <sheetFormatPr defaultRowHeight="12.75" x14ac:dyDescent="0.2"/>
  <cols>
    <col min="1" max="1" width="9.85546875" customWidth="1"/>
    <col min="2" max="2" width="10.85546875" customWidth="1"/>
    <col min="3" max="3" width="20.5703125" customWidth="1"/>
    <col min="4" max="4" width="8.5703125" customWidth="1"/>
    <col min="5" max="5" width="10.85546875" customWidth="1"/>
    <col min="6" max="6" width="10.7109375" customWidth="1"/>
    <col min="7" max="7" width="11.85546875" customWidth="1"/>
  </cols>
  <sheetData>
    <row r="1" spans="1:8" ht="15.75" x14ac:dyDescent="0.25">
      <c r="A1" s="17" t="s">
        <v>30</v>
      </c>
      <c r="B1" s="17"/>
      <c r="C1" s="17"/>
      <c r="D1" s="17"/>
      <c r="E1" s="17"/>
      <c r="F1" s="17"/>
      <c r="G1" s="12"/>
    </row>
    <row r="2" spans="1:8" s="4" customFormat="1" ht="16.5" customHeight="1" x14ac:dyDescent="0.2">
      <c r="A2" s="21" t="s">
        <v>0</v>
      </c>
      <c r="B2" s="21" t="s">
        <v>1</v>
      </c>
      <c r="C2" s="21" t="s">
        <v>2</v>
      </c>
      <c r="D2" s="21" t="s">
        <v>3</v>
      </c>
      <c r="E2" s="21" t="s">
        <v>4</v>
      </c>
      <c r="F2" s="21" t="s">
        <v>5</v>
      </c>
      <c r="G2" s="21" t="s">
        <v>6</v>
      </c>
      <c r="H2"/>
    </row>
    <row r="3" spans="1:8" x14ac:dyDescent="0.2">
      <c r="A3" s="22">
        <v>41698</v>
      </c>
      <c r="B3" s="31" t="s">
        <v>17</v>
      </c>
      <c r="C3" s="31"/>
      <c r="D3" s="23">
        <v>5</v>
      </c>
      <c r="E3" s="33"/>
      <c r="F3" s="34">
        <v>79.989997863769531</v>
      </c>
      <c r="G3" s="35">
        <f>F3*D3*(1-E3)</f>
        <v>399.94998931884766</v>
      </c>
    </row>
    <row r="4" spans="1:8" x14ac:dyDescent="0.2">
      <c r="A4" s="22">
        <v>41675</v>
      </c>
      <c r="B4" s="18" t="s">
        <v>8</v>
      </c>
      <c r="C4" s="31"/>
      <c r="D4" s="23">
        <v>15</v>
      </c>
      <c r="E4" s="33">
        <f t="shared" ref="E4:E9" si="0">VLOOKUP(D4,discounts,2,1)</f>
        <v>0.05</v>
      </c>
      <c r="F4" s="34">
        <v>0</v>
      </c>
      <c r="G4" s="35">
        <f>F4*D4*(1-E4)</f>
        <v>0</v>
      </c>
    </row>
    <row r="5" spans="1:8" x14ac:dyDescent="0.2">
      <c r="A5" s="22">
        <v>41672</v>
      </c>
      <c r="B5" s="18" t="s">
        <v>9</v>
      </c>
      <c r="C5" s="31"/>
      <c r="D5" s="23">
        <v>25</v>
      </c>
      <c r="E5" s="33">
        <f t="shared" si="0"/>
        <v>0.05</v>
      </c>
      <c r="F5" s="34"/>
      <c r="G5" s="35">
        <f>F5*D5*(1-E5)</f>
        <v>0</v>
      </c>
    </row>
    <row r="6" spans="1:8" x14ac:dyDescent="0.2">
      <c r="A6" s="22">
        <v>41680</v>
      </c>
      <c r="B6" s="20" t="s">
        <v>7</v>
      </c>
      <c r="C6" s="31"/>
      <c r="D6" s="23">
        <v>10</v>
      </c>
      <c r="E6" s="33">
        <f t="shared" si="0"/>
        <v>0.05</v>
      </c>
      <c r="F6" s="34"/>
      <c r="G6" s="35">
        <f>F6*D6*(1-E6)</f>
        <v>0</v>
      </c>
    </row>
    <row r="7" spans="1:8" x14ac:dyDescent="0.2">
      <c r="A7" s="22">
        <v>41679</v>
      </c>
      <c r="B7" s="20" t="s">
        <v>7</v>
      </c>
      <c r="C7" s="31"/>
      <c r="D7" s="23">
        <v>8</v>
      </c>
      <c r="E7" s="33">
        <f t="shared" si="0"/>
        <v>0</v>
      </c>
      <c r="F7" s="34"/>
      <c r="G7" s="35">
        <f>F7*D7*(1-E7)</f>
        <v>0</v>
      </c>
    </row>
    <row r="8" spans="1:8" x14ac:dyDescent="0.2">
      <c r="A8" s="22">
        <v>41694</v>
      </c>
      <c r="B8" s="18" t="s">
        <v>8</v>
      </c>
      <c r="C8" s="31"/>
      <c r="D8" s="23">
        <v>95</v>
      </c>
      <c r="E8" s="33">
        <f t="shared" si="0"/>
        <v>0.1</v>
      </c>
      <c r="F8" s="34"/>
      <c r="G8" s="35">
        <v>0</v>
      </c>
    </row>
    <row r="9" spans="1:8" x14ac:dyDescent="0.2">
      <c r="A9" s="22">
        <v>41687</v>
      </c>
      <c r="B9" s="18" t="s">
        <v>9</v>
      </c>
      <c r="C9" s="31"/>
      <c r="D9" s="18">
        <v>17</v>
      </c>
      <c r="E9" s="33">
        <f t="shared" si="0"/>
        <v>0.05</v>
      </c>
      <c r="F9" s="34"/>
      <c r="G9" s="35">
        <v>0</v>
      </c>
      <c r="H9" s="4"/>
    </row>
    <row r="10" spans="1:8" x14ac:dyDescent="0.2">
      <c r="A10" s="22"/>
      <c r="B10" s="18"/>
      <c r="C10" s="32"/>
      <c r="D10" s="18"/>
      <c r="E10" s="33"/>
      <c r="F10" s="34"/>
      <c r="G10" s="36"/>
      <c r="H10" s="4"/>
    </row>
    <row r="11" spans="1:8" x14ac:dyDescent="0.2">
      <c r="A11" s="22"/>
      <c r="B11" s="18"/>
      <c r="C11" s="32"/>
      <c r="D11" s="18"/>
      <c r="E11" s="33"/>
      <c r="F11" s="32"/>
      <c r="G11" s="36"/>
      <c r="H11" s="4"/>
    </row>
    <row r="12" spans="1:8" x14ac:dyDescent="0.2">
      <c r="A12" s="22"/>
      <c r="B12" s="18"/>
      <c r="C12" s="31"/>
      <c r="D12" s="18"/>
      <c r="E12" s="33"/>
      <c r="F12" s="34"/>
      <c r="G12" s="36"/>
      <c r="H12" s="4"/>
    </row>
    <row r="13" spans="1:8" x14ac:dyDescent="0.2">
      <c r="A13" s="22"/>
      <c r="B13" s="18"/>
      <c r="C13" s="32"/>
      <c r="D13" s="18"/>
      <c r="E13" s="33"/>
      <c r="F13" s="34"/>
      <c r="G13" s="36"/>
    </row>
    <row r="15" spans="1:8" ht="15.75" x14ac:dyDescent="0.25">
      <c r="A15" s="8" t="s">
        <v>10</v>
      </c>
      <c r="D15" s="13">
        <f>SUM(D3:D13)</f>
        <v>175</v>
      </c>
      <c r="E15" s="14"/>
      <c r="F15" s="14"/>
      <c r="G15" s="27">
        <f>SUM(G3:G13)</f>
        <v>399.94998931884766</v>
      </c>
    </row>
    <row r="16" spans="1:8" ht="15.75" x14ac:dyDescent="0.25">
      <c r="A16" s="8" t="s">
        <v>11</v>
      </c>
      <c r="D16" s="13">
        <f>AVERAGE(D3:D13)</f>
        <v>25</v>
      </c>
      <c r="E16" s="14"/>
      <c r="F16" s="14"/>
      <c r="G16" s="27">
        <f>AVERAGE(G3:G13)</f>
        <v>57.135712759835378</v>
      </c>
    </row>
    <row r="18" spans="1:7" ht="15.75" x14ac:dyDescent="0.25">
      <c r="A18" s="3"/>
      <c r="B18" s="3"/>
      <c r="C18" s="3"/>
      <c r="E18" s="5"/>
    </row>
    <row r="19" spans="1:7" ht="15.75" x14ac:dyDescent="0.25">
      <c r="A19" s="4"/>
      <c r="B19" s="4"/>
      <c r="C19" s="4"/>
      <c r="D19" s="5"/>
    </row>
    <row r="20" spans="1:7" x14ac:dyDescent="0.2">
      <c r="A20" s="37" t="s">
        <v>41</v>
      </c>
      <c r="G20" s="6"/>
    </row>
    <row r="21" spans="1:7" x14ac:dyDescent="0.2">
      <c r="A21" s="37" t="s">
        <v>40</v>
      </c>
      <c r="G21" s="1"/>
    </row>
    <row r="22" spans="1:7" x14ac:dyDescent="0.2">
      <c r="G22" s="6"/>
    </row>
    <row r="23" spans="1:7" x14ac:dyDescent="0.2">
      <c r="G23" s="6"/>
    </row>
    <row r="26" spans="1:7" ht="15.75" x14ac:dyDescent="0.25">
      <c r="A26" s="3"/>
      <c r="B26" s="2"/>
      <c r="C26" s="2"/>
      <c r="D26" s="2"/>
    </row>
    <row r="28" spans="1:7" x14ac:dyDescent="0.2">
      <c r="B28" s="7"/>
    </row>
    <row r="29" spans="1:7" x14ac:dyDescent="0.2">
      <c r="B29" s="7"/>
      <c r="C29" s="6"/>
    </row>
    <row r="30" spans="1:7" x14ac:dyDescent="0.2">
      <c r="B30" s="7"/>
      <c r="C30" s="1"/>
    </row>
    <row r="31" spans="1:7" x14ac:dyDescent="0.2">
      <c r="B31" s="7"/>
      <c r="C31" s="6"/>
    </row>
    <row r="32" spans="1:7" x14ac:dyDescent="0.2">
      <c r="C32" s="6"/>
    </row>
  </sheetData>
  <phoneticPr fontId="3" type="noConversion"/>
  <pageMargins left="0.75" right="0.75" top="1" bottom="1" header="0.5" footer="0.5"/>
  <pageSetup paperSize="9" scale="96" orientation="portrait" r:id="rId1"/>
  <headerFooter alignWithMargins="0">
    <oddHeader>ORDER1.XLS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Import">
                <anchor moveWithCells="1" siz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8</xdr:col>
                    <xdr:colOff>419100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Line="0" autoPict="0" macro="[0]!Validate_and_Lookup_Demo">
                <anchor moveWithCells="1" sizeWithCells="1">
                  <from>
                    <xdr:col>7</xdr:col>
                    <xdr:colOff>400050</xdr:colOff>
                    <xdr:row>4</xdr:row>
                    <xdr:rowOff>66675</xdr:rowOff>
                  </from>
                  <to>
                    <xdr:col>12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Line="0" autoPict="0" macro="[0]!Validate_single_part">
                <anchor moveWithCells="1" sizeWithCells="1">
                  <from>
                    <xdr:col>7</xdr:col>
                    <xdr:colOff>409575</xdr:colOff>
                    <xdr:row>11</xdr:row>
                    <xdr:rowOff>66675</xdr:rowOff>
                  </from>
                  <to>
                    <xdr:col>12</xdr:col>
                    <xdr:colOff>276225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6"/>
  <sheetViews>
    <sheetView zoomScale="125" workbookViewId="0">
      <selection activeCell="A9" sqref="A9"/>
    </sheetView>
  </sheetViews>
  <sheetFormatPr defaultRowHeight="12.75" x14ac:dyDescent="0.2"/>
  <cols>
    <col min="1" max="1" width="6.85546875" customWidth="1"/>
    <col min="2" max="2" width="21.5703125" customWidth="1"/>
    <col min="3" max="3" width="8.28515625" customWidth="1"/>
  </cols>
  <sheetData>
    <row r="1" spans="1:4" s="5" customFormat="1" ht="15.75" x14ac:dyDescent="0.25">
      <c r="A1" s="3" t="s">
        <v>12</v>
      </c>
      <c r="B1" s="3"/>
      <c r="C1" s="3"/>
    </row>
    <row r="2" spans="1:4" s="4" customFormat="1" x14ac:dyDescent="0.2">
      <c r="A2" s="4" t="s">
        <v>1</v>
      </c>
      <c r="B2" s="4" t="s">
        <v>2</v>
      </c>
      <c r="C2" s="4" t="s">
        <v>13</v>
      </c>
      <c r="D2" s="4" t="s">
        <v>14</v>
      </c>
    </row>
    <row r="3" spans="1:4" x14ac:dyDescent="0.2">
      <c r="A3" s="18" t="s">
        <v>34</v>
      </c>
      <c r="B3" s="18" t="s">
        <v>35</v>
      </c>
      <c r="C3" s="19">
        <v>0.99</v>
      </c>
      <c r="D3" s="4" t="s">
        <v>15</v>
      </c>
    </row>
    <row r="4" spans="1:4" x14ac:dyDescent="0.2">
      <c r="A4" s="18" t="s">
        <v>8</v>
      </c>
      <c r="B4" s="18" t="s">
        <v>31</v>
      </c>
      <c r="C4" s="19">
        <v>8.49</v>
      </c>
      <c r="D4" s="4" t="s">
        <v>16</v>
      </c>
    </row>
    <row r="5" spans="1:4" x14ac:dyDescent="0.2">
      <c r="A5" s="18" t="s">
        <v>7</v>
      </c>
      <c r="B5" s="18" t="s">
        <v>36</v>
      </c>
      <c r="C5" s="19">
        <v>6.99</v>
      </c>
      <c r="D5" s="4"/>
    </row>
    <row r="6" spans="1:4" x14ac:dyDescent="0.2">
      <c r="A6" s="18" t="s">
        <v>9</v>
      </c>
      <c r="B6" s="18" t="s">
        <v>37</v>
      </c>
      <c r="C6" s="19">
        <v>79.989999999999995</v>
      </c>
    </row>
    <row r="7" spans="1:4" x14ac:dyDescent="0.2">
      <c r="A7" s="18" t="s">
        <v>17</v>
      </c>
      <c r="B7" s="18" t="s">
        <v>38</v>
      </c>
      <c r="C7" s="19">
        <v>47.49</v>
      </c>
    </row>
    <row r="8" spans="1:4" x14ac:dyDescent="0.2">
      <c r="A8" s="28" t="s">
        <v>29</v>
      </c>
      <c r="B8" s="28" t="s">
        <v>39</v>
      </c>
      <c r="C8" s="29">
        <v>3.24</v>
      </c>
    </row>
    <row r="9" spans="1:4" x14ac:dyDescent="0.2">
      <c r="A9" s="26"/>
    </row>
    <row r="12" spans="1:4" x14ac:dyDescent="0.2">
      <c r="D12" s="26"/>
    </row>
    <row r="16" spans="1:4" x14ac:dyDescent="0.2">
      <c r="C16" s="26"/>
    </row>
  </sheetData>
  <phoneticPr fontId="3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7"/>
  <sheetViews>
    <sheetView workbookViewId="0">
      <selection activeCell="A4" sqref="A4:B7"/>
    </sheetView>
  </sheetViews>
  <sheetFormatPr defaultRowHeight="12.75" x14ac:dyDescent="0.2"/>
  <cols>
    <col min="3" max="3" width="10.7109375" customWidth="1"/>
  </cols>
  <sheetData>
    <row r="1" spans="1:3" ht="15.75" x14ac:dyDescent="0.25">
      <c r="A1" s="5" t="s">
        <v>18</v>
      </c>
    </row>
    <row r="2" spans="1:3" x14ac:dyDescent="0.2">
      <c r="A2" s="4" t="s">
        <v>3</v>
      </c>
      <c r="B2" s="4" t="s">
        <v>4</v>
      </c>
      <c r="C2" s="4" t="s">
        <v>19</v>
      </c>
    </row>
    <row r="3" spans="1:3" x14ac:dyDescent="0.2">
      <c r="A3" s="4"/>
      <c r="B3" s="4"/>
      <c r="C3" s="4" t="s">
        <v>20</v>
      </c>
    </row>
    <row r="4" spans="1:3" x14ac:dyDescent="0.2">
      <c r="A4" s="18">
        <v>0</v>
      </c>
      <c r="B4" s="24">
        <v>0</v>
      </c>
      <c r="C4" s="9" t="s">
        <v>21</v>
      </c>
    </row>
    <row r="5" spans="1:3" x14ac:dyDescent="0.2">
      <c r="A5" s="18">
        <v>10</v>
      </c>
      <c r="B5" s="24">
        <v>0.05</v>
      </c>
      <c r="C5" s="10" t="s">
        <v>22</v>
      </c>
    </row>
    <row r="6" spans="1:3" x14ac:dyDescent="0.2">
      <c r="A6" s="18">
        <v>50</v>
      </c>
      <c r="B6" s="24">
        <v>0.1</v>
      </c>
      <c r="C6" s="9" t="s">
        <v>23</v>
      </c>
    </row>
    <row r="7" spans="1:3" x14ac:dyDescent="0.2">
      <c r="A7" s="18">
        <v>100</v>
      </c>
      <c r="B7" s="24">
        <v>0.15</v>
      </c>
      <c r="C7" s="9" t="s">
        <v>24</v>
      </c>
    </row>
  </sheetData>
  <phoneticPr fontId="3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"/>
  <sheetViews>
    <sheetView workbookViewId="0">
      <selection activeCell="B4" sqref="B4:B8"/>
    </sheetView>
  </sheetViews>
  <sheetFormatPr defaultRowHeight="12.75" x14ac:dyDescent="0.2"/>
  <cols>
    <col min="1" max="1" width="9.85546875" customWidth="1"/>
    <col min="2" max="2" width="10.85546875" customWidth="1"/>
    <col min="3" max="3" width="19.140625" customWidth="1"/>
    <col min="4" max="4" width="9.7109375" customWidth="1"/>
  </cols>
  <sheetData>
    <row r="1" spans="1:4" ht="15.75" x14ac:dyDescent="0.25">
      <c r="A1" s="3" t="s">
        <v>25</v>
      </c>
      <c r="B1" s="2"/>
      <c r="C1" s="2"/>
      <c r="D1" s="11"/>
    </row>
    <row r="2" spans="1:4" x14ac:dyDescent="0.2">
      <c r="A2" s="4" t="s">
        <v>3</v>
      </c>
      <c r="B2" s="4" t="s">
        <v>26</v>
      </c>
      <c r="C2" s="4" t="s">
        <v>27</v>
      </c>
    </row>
    <row r="3" spans="1:4" x14ac:dyDescent="0.2">
      <c r="A3" s="4"/>
      <c r="B3" s="4" t="s">
        <v>2</v>
      </c>
      <c r="C3" s="4" t="s">
        <v>28</v>
      </c>
    </row>
    <row r="4" spans="1:4" x14ac:dyDescent="0.2">
      <c r="A4" s="18">
        <v>0</v>
      </c>
      <c r="B4" s="30" t="s">
        <v>32</v>
      </c>
      <c r="C4" s="25">
        <f t="array" ref="C4:C8">FREQUENCY(ProductDetails,A4:A7)</f>
        <v>0</v>
      </c>
    </row>
    <row r="5" spans="1:4" x14ac:dyDescent="0.2">
      <c r="A5" s="18">
        <v>9</v>
      </c>
      <c r="B5" s="16" t="s">
        <v>33</v>
      </c>
      <c r="C5" s="25">
        <v>4</v>
      </c>
    </row>
    <row r="6" spans="1:4" x14ac:dyDescent="0.2">
      <c r="A6" s="18">
        <v>49</v>
      </c>
      <c r="B6" s="16" t="s">
        <v>22</v>
      </c>
      <c r="C6" s="25">
        <v>1</v>
      </c>
    </row>
    <row r="7" spans="1:4" x14ac:dyDescent="0.2">
      <c r="A7" s="18">
        <v>99</v>
      </c>
      <c r="B7" s="16" t="s">
        <v>23</v>
      </c>
      <c r="C7" s="25">
        <v>1</v>
      </c>
    </row>
    <row r="8" spans="1:4" x14ac:dyDescent="0.2">
      <c r="A8" s="15"/>
      <c r="B8" s="16" t="s">
        <v>24</v>
      </c>
      <c r="C8" s="25">
        <v>0</v>
      </c>
    </row>
  </sheetData>
  <phoneticPr fontId="3" type="noConversion"/>
  <printOptions gridLines="1" gridLinesSet="0"/>
  <pageMargins left="0.75" right="0.75" top="1" bottom="1" header="0.5" footer="0.5"/>
  <pageSetup paperSize="9" orientation="portrait" horizontalDpi="0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Orders</vt:lpstr>
      <vt:lpstr>Products</vt:lpstr>
      <vt:lpstr>Discounts</vt:lpstr>
      <vt:lpstr>Frequency</vt:lpstr>
      <vt:lpstr>data</vt:lpstr>
      <vt:lpstr>discounts</vt:lpstr>
      <vt:lpstr>FileName</vt:lpstr>
      <vt:lpstr>FilePath</vt:lpstr>
      <vt:lpstr>PartNumbers</vt:lpstr>
      <vt:lpstr>Parts</vt:lpstr>
      <vt:lpstr>ProductDetails</vt:lpstr>
      <vt:lpstr>quantities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Preferred Customer</dc:creator>
  <cp:lastModifiedBy>student</cp:lastModifiedBy>
  <dcterms:created xsi:type="dcterms:W3CDTF">2000-10-17T10:33:56Z</dcterms:created>
  <dcterms:modified xsi:type="dcterms:W3CDTF">2018-11-13T12:22:29Z</dcterms:modified>
</cp:coreProperties>
</file>