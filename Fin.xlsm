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\Desktop\"/>
    </mc:Choice>
  </mc:AlternateContent>
  <xr:revisionPtr revIDLastSave="0" documentId="10_ncr:100000_{4F614A35-3626-43C7-807A-35E4142EE36E}" xr6:coauthVersionLast="31" xr6:coauthVersionMax="31" xr10:uidLastSave="{00000000-0000-0000-0000-000000000000}"/>
  <bookViews>
    <workbookView xWindow="0" yWindow="0" windowWidth="23040" windowHeight="9072" xr2:uid="{3BB24065-C929-46E2-9700-E8D789979A05}"/>
  </bookViews>
  <sheets>
    <sheet name="Model" sheetId="1" r:id="rId1"/>
    <sheet name="Optimal_Plan" sheetId="7" r:id="rId2"/>
    <sheet name="Chart1" sheetId="4" r:id="rId3"/>
    <sheet name="Chart2" sheetId="5" r:id="rId4"/>
  </sheets>
  <definedNames>
    <definedName name="BestPlan">Model!$C$11:$D$31</definedName>
    <definedName name="Optimum">Model!$Q$4</definedName>
    <definedName name="Order">Model!$F$11:$G$31</definedName>
    <definedName name="Profit">Model!$L$4</definedName>
    <definedName name="Try">Model!$O$4</definedName>
    <definedName name="Validate">Model!$F$12:$G$26,Model!$G$27,Model!$G$28,Model!$G$29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5" i="1" l="1"/>
  <c r="T13" i="1"/>
  <c r="D23" i="7" l="1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K16" i="7" s="1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L4" i="7"/>
  <c r="D4" i="7"/>
  <c r="C4" i="7"/>
  <c r="J3" i="7"/>
  <c r="I3" i="7"/>
  <c r="M3" i="7" s="1"/>
  <c r="N3" i="7" s="1"/>
  <c r="D3" i="7"/>
  <c r="G5" i="7" s="1"/>
  <c r="C3" i="7"/>
  <c r="F8" i="7" s="1"/>
  <c r="F9" i="7" s="1"/>
  <c r="K22" i="7" l="1"/>
  <c r="K21" i="7"/>
  <c r="K11" i="7"/>
  <c r="K17" i="7"/>
  <c r="K23" i="7"/>
  <c r="F10" i="7"/>
  <c r="F11" i="7" s="1"/>
  <c r="K18" i="7"/>
  <c r="K20" i="7"/>
  <c r="K5" i="7"/>
  <c r="K6" i="7"/>
  <c r="K12" i="7"/>
  <c r="K10" i="7"/>
  <c r="L5" i="7"/>
  <c r="G6" i="7"/>
  <c r="L6" i="7" s="1"/>
  <c r="K8" i="7"/>
  <c r="K4" i="7"/>
  <c r="J4" i="7" s="1"/>
  <c r="K9" i="7"/>
  <c r="K15" i="7"/>
  <c r="K14" i="7"/>
  <c r="K7" i="7"/>
  <c r="K13" i="7"/>
  <c r="K19" i="7"/>
  <c r="L11" i="1"/>
  <c r="J5" i="7" l="1"/>
  <c r="J6" i="7"/>
  <c r="G7" i="7"/>
  <c r="F12" i="7"/>
  <c r="K24" i="7"/>
  <c r="S11" i="1"/>
  <c r="G8" i="7" l="1"/>
  <c r="L7" i="7"/>
  <c r="J7" i="7" s="1"/>
  <c r="F13" i="7"/>
  <c r="I16" i="1"/>
  <c r="V16" i="1" s="1"/>
  <c r="U16" i="1" s="1"/>
  <c r="G9" i="7" l="1"/>
  <c r="L8" i="7"/>
  <c r="J8" i="7" s="1"/>
  <c r="F14" i="7"/>
  <c r="O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12" i="1"/>
  <c r="M11" i="1"/>
  <c r="V13" i="1"/>
  <c r="V14" i="1"/>
  <c r="V15" i="1"/>
  <c r="V12" i="1"/>
  <c r="U12" i="1" s="1"/>
  <c r="I4" i="7" s="1"/>
  <c r="J13" i="1"/>
  <c r="G10" i="7" l="1"/>
  <c r="L9" i="7"/>
  <c r="J9" i="7" s="1"/>
  <c r="M4" i="7"/>
  <c r="F15" i="7"/>
  <c r="L12" i="1"/>
  <c r="O13" i="1"/>
  <c r="M13" i="1" s="1"/>
  <c r="J14" i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S12" i="1"/>
  <c r="W12" i="1"/>
  <c r="P11" i="1"/>
  <c r="Q11" i="1" s="1"/>
  <c r="N32" i="1"/>
  <c r="M12" i="1"/>
  <c r="L10" i="7" l="1"/>
  <c r="J10" i="7" s="1"/>
  <c r="G11" i="7"/>
  <c r="F16" i="7"/>
  <c r="N4" i="7"/>
  <c r="P12" i="1"/>
  <c r="Q12" i="1" s="1"/>
  <c r="U13" i="1"/>
  <c r="I5" i="7" s="1"/>
  <c r="O14" i="1"/>
  <c r="I17" i="1"/>
  <c r="G12" i="7" l="1"/>
  <c r="L11" i="7"/>
  <c r="J11" i="7" s="1"/>
  <c r="M5" i="7"/>
  <c r="F17" i="7"/>
  <c r="S13" i="1"/>
  <c r="L13" i="1"/>
  <c r="P13" i="1" s="1"/>
  <c r="Q13" i="1" s="1"/>
  <c r="W13" i="1"/>
  <c r="T14" i="1" s="1"/>
  <c r="M14" i="1"/>
  <c r="V17" i="1"/>
  <c r="I18" i="1"/>
  <c r="O15" i="1"/>
  <c r="G13" i="7" l="1"/>
  <c r="L12" i="7"/>
  <c r="J12" i="7" s="1"/>
  <c r="F18" i="7"/>
  <c r="N5" i="7"/>
  <c r="U14" i="1"/>
  <c r="I6" i="7" s="1"/>
  <c r="W14" i="1"/>
  <c r="T15" i="1" s="1"/>
  <c r="W15" i="1" s="1"/>
  <c r="V18" i="1"/>
  <c r="O16" i="1"/>
  <c r="M15" i="1"/>
  <c r="I19" i="1"/>
  <c r="L13" i="7" l="1"/>
  <c r="J13" i="7" s="1"/>
  <c r="G14" i="7"/>
  <c r="M6" i="7"/>
  <c r="N6" i="7" s="1"/>
  <c r="F19" i="7"/>
  <c r="L14" i="1"/>
  <c r="P14" i="1" s="1"/>
  <c r="Q14" i="1" s="1"/>
  <c r="S14" i="1"/>
  <c r="T16" i="1"/>
  <c r="I7" i="7"/>
  <c r="M7" i="7" s="1"/>
  <c r="V19" i="1"/>
  <c r="O17" i="1"/>
  <c r="M16" i="1"/>
  <c r="I20" i="1"/>
  <c r="G15" i="7" l="1"/>
  <c r="L14" i="7"/>
  <c r="J14" i="7" s="1"/>
  <c r="F20" i="7"/>
  <c r="N7" i="7"/>
  <c r="S15" i="1"/>
  <c r="L15" i="1"/>
  <c r="P15" i="1" s="1"/>
  <c r="Q15" i="1" s="1"/>
  <c r="W16" i="1"/>
  <c r="T17" i="1" s="1"/>
  <c r="I8" i="7"/>
  <c r="M8" i="7" s="1"/>
  <c r="V20" i="1"/>
  <c r="M17" i="1"/>
  <c r="O18" i="1"/>
  <c r="I21" i="1"/>
  <c r="G16" i="7" l="1"/>
  <c r="L15" i="7"/>
  <c r="J15" i="7" s="1"/>
  <c r="N8" i="7"/>
  <c r="F21" i="7"/>
  <c r="S16" i="1"/>
  <c r="U17" i="1"/>
  <c r="I9" i="7" s="1"/>
  <c r="M9" i="7" s="1"/>
  <c r="W17" i="1"/>
  <c r="T18" i="1" s="1"/>
  <c r="L16" i="1"/>
  <c r="V21" i="1"/>
  <c r="O19" i="1"/>
  <c r="M18" i="1"/>
  <c r="I22" i="1"/>
  <c r="G17" i="7" l="1"/>
  <c r="L16" i="7"/>
  <c r="J16" i="7" s="1"/>
  <c r="F22" i="7"/>
  <c r="N9" i="7"/>
  <c r="S17" i="1"/>
  <c r="L17" i="1"/>
  <c r="P17" i="1" s="1"/>
  <c r="U18" i="1"/>
  <c r="I10" i="7" s="1"/>
  <c r="M10" i="7" s="1"/>
  <c r="P16" i="1"/>
  <c r="Q16" i="1" s="1"/>
  <c r="W18" i="1"/>
  <c r="T19" i="1" s="1"/>
  <c r="V22" i="1"/>
  <c r="M19" i="1"/>
  <c r="I23" i="1"/>
  <c r="L17" i="7" l="1"/>
  <c r="J17" i="7" s="1"/>
  <c r="G18" i="7"/>
  <c r="N10" i="7"/>
  <c r="F23" i="7"/>
  <c r="S18" i="1"/>
  <c r="Q17" i="1"/>
  <c r="L18" i="1"/>
  <c r="P18" i="1" s="1"/>
  <c r="U19" i="1"/>
  <c r="I11" i="7" s="1"/>
  <c r="M11" i="7" s="1"/>
  <c r="W19" i="1"/>
  <c r="T20" i="1" s="1"/>
  <c r="O20" i="1"/>
  <c r="M20" i="1" s="1"/>
  <c r="V23" i="1"/>
  <c r="I24" i="1"/>
  <c r="G19" i="7" l="1"/>
  <c r="L18" i="7"/>
  <c r="J18" i="7" s="1"/>
  <c r="N11" i="7"/>
  <c r="S19" i="1"/>
  <c r="Q18" i="1"/>
  <c r="L19" i="1"/>
  <c r="P19" i="1" s="1"/>
  <c r="U20" i="1"/>
  <c r="I12" i="7" s="1"/>
  <c r="M12" i="7" s="1"/>
  <c r="W20" i="1"/>
  <c r="T21" i="1" s="1"/>
  <c r="O21" i="1"/>
  <c r="M21" i="1" s="1"/>
  <c r="V24" i="1"/>
  <c r="O22" i="1"/>
  <c r="I25" i="1"/>
  <c r="L19" i="7" l="1"/>
  <c r="J19" i="7" s="1"/>
  <c r="G20" i="7"/>
  <c r="N12" i="7"/>
  <c r="S20" i="1"/>
  <c r="Q19" i="1"/>
  <c r="L20" i="1"/>
  <c r="P20" i="1" s="1"/>
  <c r="U21" i="1"/>
  <c r="I13" i="7" s="1"/>
  <c r="M13" i="7" s="1"/>
  <c r="W21" i="1"/>
  <c r="T22" i="1" s="1"/>
  <c r="V25" i="1"/>
  <c r="O23" i="1"/>
  <c r="M22" i="1"/>
  <c r="I26" i="1"/>
  <c r="G21" i="7" l="1"/>
  <c r="L20" i="7"/>
  <c r="J20" i="7" s="1"/>
  <c r="N13" i="7"/>
  <c r="S21" i="1"/>
  <c r="Q20" i="1"/>
  <c r="L21" i="1"/>
  <c r="P21" i="1" s="1"/>
  <c r="U22" i="1"/>
  <c r="I14" i="7" s="1"/>
  <c r="M14" i="7" s="1"/>
  <c r="W22" i="1"/>
  <c r="T23" i="1" s="1"/>
  <c r="V26" i="1"/>
  <c r="O24" i="1"/>
  <c r="M23" i="1"/>
  <c r="I27" i="1"/>
  <c r="G22" i="7" l="1"/>
  <c r="L21" i="7"/>
  <c r="N14" i="7"/>
  <c r="S22" i="1"/>
  <c r="Q21" i="1"/>
  <c r="L22" i="1"/>
  <c r="P22" i="1" s="1"/>
  <c r="U23" i="1"/>
  <c r="I15" i="7" s="1"/>
  <c r="M15" i="7" s="1"/>
  <c r="W23" i="1"/>
  <c r="T24" i="1" s="1"/>
  <c r="V27" i="1"/>
  <c r="O25" i="1"/>
  <c r="M24" i="1"/>
  <c r="I28" i="1"/>
  <c r="J21" i="7" l="1"/>
  <c r="G23" i="7"/>
  <c r="L23" i="7" s="1"/>
  <c r="J23" i="7" s="1"/>
  <c r="L22" i="7"/>
  <c r="J22" i="7" s="1"/>
  <c r="N15" i="7"/>
  <c r="Q22" i="1"/>
  <c r="S23" i="1"/>
  <c r="L23" i="1"/>
  <c r="P23" i="1" s="1"/>
  <c r="U24" i="1"/>
  <c r="I16" i="7" s="1"/>
  <c r="M16" i="7" s="1"/>
  <c r="W24" i="1"/>
  <c r="T25" i="1" s="1"/>
  <c r="V28" i="1"/>
  <c r="O26" i="1"/>
  <c r="M25" i="1"/>
  <c r="I29" i="1"/>
  <c r="L24" i="7" l="1"/>
  <c r="J24" i="7"/>
  <c r="N16" i="7"/>
  <c r="S24" i="1"/>
  <c r="Q23" i="1"/>
  <c r="L24" i="1"/>
  <c r="P24" i="1" s="1"/>
  <c r="U25" i="1"/>
  <c r="I17" i="7" s="1"/>
  <c r="M17" i="7" s="1"/>
  <c r="W25" i="1"/>
  <c r="T26" i="1" s="1"/>
  <c r="V29" i="1"/>
  <c r="O27" i="1"/>
  <c r="M26" i="1"/>
  <c r="I30" i="1"/>
  <c r="N17" i="7" l="1"/>
  <c r="S25" i="1"/>
  <c r="Q24" i="1"/>
  <c r="L25" i="1"/>
  <c r="P25" i="1" s="1"/>
  <c r="U26" i="1"/>
  <c r="I18" i="7" s="1"/>
  <c r="M18" i="7" s="1"/>
  <c r="W26" i="1"/>
  <c r="T27" i="1" s="1"/>
  <c r="V30" i="1"/>
  <c r="O28" i="1"/>
  <c r="M27" i="1"/>
  <c r="I31" i="1"/>
  <c r="N18" i="7" l="1"/>
  <c r="S26" i="1"/>
  <c r="Q25" i="1"/>
  <c r="L26" i="1"/>
  <c r="P26" i="1" s="1"/>
  <c r="U27" i="1"/>
  <c r="I19" i="7" s="1"/>
  <c r="M19" i="7" s="1"/>
  <c r="W27" i="1"/>
  <c r="T28" i="1" s="1"/>
  <c r="O29" i="1"/>
  <c r="M28" i="1"/>
  <c r="V31" i="1"/>
  <c r="N19" i="7" l="1"/>
  <c r="S27" i="1"/>
  <c r="Q26" i="1"/>
  <c r="L27" i="1"/>
  <c r="P27" i="1" s="1"/>
  <c r="U28" i="1"/>
  <c r="I20" i="7" s="1"/>
  <c r="M20" i="7" s="1"/>
  <c r="W28" i="1"/>
  <c r="T29" i="1" s="1"/>
  <c r="V32" i="1"/>
  <c r="O30" i="1"/>
  <c r="M29" i="1"/>
  <c r="N20" i="7" l="1"/>
  <c r="S28" i="1"/>
  <c r="Q27" i="1"/>
  <c r="L28" i="1"/>
  <c r="P28" i="1" s="1"/>
  <c r="U29" i="1"/>
  <c r="I21" i="7" s="1"/>
  <c r="M21" i="7" s="1"/>
  <c r="W29" i="1"/>
  <c r="T30" i="1" s="1"/>
  <c r="O31" i="1"/>
  <c r="O32" i="1" s="1"/>
  <c r="M30" i="1"/>
  <c r="N21" i="7" l="1"/>
  <c r="S29" i="1"/>
  <c r="Q28" i="1"/>
  <c r="U30" i="1"/>
  <c r="I22" i="7" s="1"/>
  <c r="M22" i="7" s="1"/>
  <c r="W30" i="1"/>
  <c r="T31" i="1" s="1"/>
  <c r="M31" i="1"/>
  <c r="L29" i="1"/>
  <c r="P29" i="1" s="1"/>
  <c r="N22" i="7" l="1"/>
  <c r="S30" i="1"/>
  <c r="Q29" i="1"/>
  <c r="L30" i="1"/>
  <c r="P30" i="1" s="1"/>
  <c r="U31" i="1"/>
  <c r="I23" i="7" s="1"/>
  <c r="M32" i="1"/>
  <c r="I4" i="1"/>
  <c r="W31" i="1"/>
  <c r="W32" i="1" s="1"/>
  <c r="T32" i="1"/>
  <c r="M23" i="7" l="1"/>
  <c r="M24" i="7" s="1"/>
  <c r="I24" i="7"/>
  <c r="S31" i="1"/>
  <c r="Q30" i="1"/>
  <c r="U32" i="1"/>
  <c r="L31" i="1"/>
  <c r="E4" i="1" s="1"/>
  <c r="L4" i="1" s="1"/>
  <c r="N23" i="7" l="1"/>
  <c r="P31" i="1"/>
  <c r="L32" i="1"/>
  <c r="P32" i="1" l="1"/>
  <c r="Q31" i="1"/>
</calcChain>
</file>

<file path=xl/sharedStrings.xml><?xml version="1.0" encoding="utf-8"?>
<sst xmlns="http://schemas.openxmlformats.org/spreadsheetml/2006/main" count="101" uniqueCount="58">
  <si>
    <t>Projecting Profit for Smart Eco-Logistics</t>
  </si>
  <si>
    <t>Quarter</t>
  </si>
  <si>
    <t>Order/Relinquish</t>
  </si>
  <si>
    <t>Operating Vehicle</t>
  </si>
  <si>
    <t>Revenue</t>
  </si>
  <si>
    <t>Initial Cost</t>
  </si>
  <si>
    <t>Running cost</t>
  </si>
  <si>
    <t>Profit</t>
  </si>
  <si>
    <t>Demand</t>
  </si>
  <si>
    <t>Supply</t>
  </si>
  <si>
    <t>Capacity</t>
  </si>
  <si>
    <t xml:space="preserve">Cost of Loss </t>
  </si>
  <si>
    <t>Large</t>
  </si>
  <si>
    <t>Small</t>
  </si>
  <si>
    <t>Q0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</si>
  <si>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</si>
  <si>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</si>
  <si>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</si>
  <si>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</si>
  <si>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</si>
  <si>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</si>
  <si>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</si>
  <si>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</si>
  <si>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</si>
  <si>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</si>
  <si>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</si>
  <si>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</si>
  <si>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</si>
  <si>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</si>
  <si>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</si>
  <si>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</si>
  <si>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</si>
  <si>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</si>
  <si>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</si>
  <si>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</si>
  <si>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Average</t>
  </si>
  <si>
    <t>Capacity (Large)</t>
  </si>
  <si>
    <t>Capacity (Small)</t>
  </si>
  <si>
    <t>Initial Cost (Large)</t>
  </si>
  <si>
    <t>Initial Cost (Small)</t>
  </si>
  <si>
    <t>Running Cost (Large)</t>
  </si>
  <si>
    <t>Running Cost (Small)</t>
  </si>
  <si>
    <t>Revenue (GBP)</t>
  </si>
  <si>
    <t>Growth Rate</t>
  </si>
  <si>
    <t>Cost of Loss Rate</t>
  </si>
  <si>
    <t>Total Cost</t>
  </si>
  <si>
    <t>Total revenue</t>
  </si>
  <si>
    <t>Total Profit</t>
  </si>
  <si>
    <t># of Try</t>
  </si>
  <si>
    <t>Order</t>
  </si>
  <si>
    <t>Cumulative Profit</t>
  </si>
  <si>
    <t>X Values</t>
  </si>
  <si>
    <t>Optimal Profit</t>
  </si>
  <si>
    <t>Optimal Plan</t>
  </si>
  <si>
    <t>$A$6</t>
  </si>
  <si>
    <t>$I$6</t>
  </si>
  <si>
    <t>$J$6</t>
  </si>
  <si>
    <t>$M$6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</si>
</sst>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£-809]#,##0"/>
  </numFmts>
  <fonts count="21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rgb="FF0000CC"/>
      <name val="Arial"/>
      <family val="2"/>
    </font>
    <font>
      <b/>
      <sz val="17"/>
      <color rgb="FF00B050"/>
      <name val="Arial"/>
      <family val="2"/>
    </font>
    <font>
      <b/>
      <sz val="20"/>
      <color theme="9" tint="-0.499984740745262"/>
      <name val="Arial"/>
      <family val="2"/>
    </font>
    <font>
      <b/>
      <sz val="12"/>
      <color theme="9" tint="-0.499984740745262"/>
      <name val="Arial"/>
      <family val="2"/>
    </font>
    <font>
      <sz val="12"/>
      <color theme="9" tint="-0.499984740745262"/>
      <name val="Arial"/>
      <family val="2"/>
    </font>
    <font>
      <b/>
      <sz val="11"/>
      <color rgb="FF00B050"/>
      <name val="Arial"/>
      <family val="2"/>
    </font>
    <font>
      <b/>
      <sz val="15"/>
      <color rgb="FF008000"/>
      <name val="Calibri"/>
      <family val="2"/>
    </font>
    <font>
      <b/>
      <sz val="14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 style="thick">
        <color rgb="FF00B050"/>
      </left>
      <right/>
      <top style="thick">
        <color rgb="FF00B050"/>
      </top>
      <bottom style="double">
        <color rgb="FF00B050"/>
      </bottom>
      <diagonal/>
    </border>
    <border>
      <left/>
      <right/>
      <top style="thick">
        <color rgb="FF00B050"/>
      </top>
      <bottom style="double">
        <color rgb="FF00B050"/>
      </bottom>
      <diagonal/>
    </border>
    <border>
      <left/>
      <right style="thick">
        <color rgb="FF00B050"/>
      </right>
      <top style="thick">
        <color rgb="FF00B050"/>
      </top>
      <bottom style="double">
        <color rgb="FF00B050"/>
      </bottom>
      <diagonal/>
    </border>
    <border>
      <left style="thick">
        <color rgb="FF00B050"/>
      </left>
      <right/>
      <top style="double">
        <color rgb="FF00B050"/>
      </top>
      <bottom style="thick">
        <color rgb="FF00B050"/>
      </bottom>
      <diagonal/>
    </border>
    <border>
      <left/>
      <right/>
      <top style="double">
        <color rgb="FF00B050"/>
      </top>
      <bottom style="thick">
        <color rgb="FF00B050"/>
      </bottom>
      <diagonal/>
    </border>
    <border>
      <left/>
      <right style="thick">
        <color rgb="FF00B050"/>
      </right>
      <top style="double">
        <color rgb="FF00B050"/>
      </top>
      <bottom style="thick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medium">
        <color rgb="FF00B050"/>
      </right>
      <top/>
      <bottom style="double">
        <color rgb="FF00B050"/>
      </bottom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medium">
        <color rgb="FF00B050"/>
      </left>
      <right/>
      <top style="medium">
        <color rgb="FF00B050"/>
      </top>
      <bottom style="thin">
        <color rgb="FF00B050"/>
      </bottom>
      <diagonal/>
    </border>
    <border>
      <left/>
      <right style="medium">
        <color rgb="FF00B050"/>
      </right>
      <top style="medium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double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double">
        <color rgb="FF00B050"/>
      </bottom>
      <diagonal/>
    </border>
    <border>
      <left style="medium">
        <color rgb="FF00B050"/>
      </left>
      <right style="thin">
        <color rgb="FF00B050"/>
      </right>
      <top style="double">
        <color rgb="FF00B050"/>
      </top>
      <bottom/>
      <diagonal/>
    </border>
    <border>
      <left style="thin">
        <color rgb="FF00B050"/>
      </left>
      <right style="medium">
        <color rgb="FF00B050"/>
      </right>
      <top style="double">
        <color rgb="FF00B050"/>
      </top>
      <bottom/>
      <diagonal/>
    </border>
    <border>
      <left style="medium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 style="medium">
        <color rgb="FF00B050"/>
      </right>
      <top/>
      <bottom/>
      <diagonal/>
    </border>
    <border>
      <left style="medium">
        <color rgb="FF00B050"/>
      </left>
      <right style="thin">
        <color rgb="FF00B050"/>
      </right>
      <top/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thin">
        <color rgb="FF00B050"/>
      </left>
      <right style="thin">
        <color rgb="FF00B050"/>
      </right>
      <top style="double">
        <color rgb="FF00B050"/>
      </top>
      <bottom/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 style="medium">
        <color rgb="FF00B050"/>
      </bottom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/>
      <diagonal/>
    </border>
    <border>
      <left style="thin">
        <color rgb="FF00B050"/>
      </left>
      <right style="thin">
        <color rgb="FF00B050"/>
      </right>
      <top style="medium">
        <color rgb="FF00B050"/>
      </top>
      <bottom/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thin">
        <color rgb="FF00B050"/>
      </right>
      <top/>
      <bottom style="double">
        <color rgb="FF00B050"/>
      </bottom>
      <diagonal/>
    </border>
    <border>
      <left style="thin">
        <color rgb="FF00B050"/>
      </left>
      <right style="thin">
        <color rgb="FF00B050"/>
      </right>
      <top/>
      <bottom style="double">
        <color rgb="FF00B050"/>
      </bottom>
      <diagonal/>
    </border>
    <border>
      <left style="thin">
        <color rgb="FF00B050"/>
      </left>
      <right style="medium">
        <color rgb="FF00B050"/>
      </right>
      <top/>
      <bottom style="double">
        <color rgb="FF00B050"/>
      </bottom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/>
    <xf numFmtId="0" fontId="5" fillId="0" borderId="0" xfId="0" applyFont="1" applyFill="1"/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13" fillId="0" borderId="0" xfId="0" applyFont="1" applyFill="1"/>
    <xf numFmtId="0" fontId="15" fillId="0" borderId="0" xfId="0" applyFont="1" applyFill="1" applyAlignment="1">
      <alignment horizontal="left"/>
    </xf>
    <xf numFmtId="0" fontId="16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1" fillId="0" borderId="0" xfId="0" applyFont="1" applyFill="1" applyBorder="1"/>
    <xf numFmtId="2" fontId="18" fillId="2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16" fillId="0" borderId="14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7" fillId="0" borderId="16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10" fontId="10" fillId="0" borderId="34" xfId="0" applyNumberFormat="1" applyFont="1" applyBorder="1" applyAlignment="1">
      <alignment horizontal="center" vertical="center"/>
    </xf>
    <xf numFmtId="10" fontId="10" fillId="0" borderId="36" xfId="0" applyNumberFormat="1" applyFont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9" fillId="2" borderId="35" xfId="0" applyFont="1" applyFill="1" applyBorder="1" applyAlignment="1">
      <alignment horizontal="center" vertical="center"/>
    </xf>
    <xf numFmtId="10" fontId="7" fillId="0" borderId="17" xfId="0" applyNumberFormat="1" applyFont="1" applyFill="1" applyBorder="1" applyAlignment="1">
      <alignment horizontal="center"/>
    </xf>
    <xf numFmtId="10" fontId="7" fillId="0" borderId="19" xfId="0" applyNumberFormat="1" applyFont="1" applyFill="1" applyBorder="1" applyAlignment="1">
      <alignment horizontal="center"/>
    </xf>
    <xf numFmtId="10" fontId="7" fillId="0" borderId="21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>
      <alignment horizontal="center"/>
    </xf>
    <xf numFmtId="10" fontId="18" fillId="2" borderId="0" xfId="1" applyNumberFormat="1" applyFont="1" applyFill="1" applyBorder="1" applyAlignment="1">
      <alignment horizontal="center"/>
    </xf>
    <xf numFmtId="2" fontId="18" fillId="2" borderId="37" xfId="0" applyNumberFormat="1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 vertical="center"/>
    </xf>
    <xf numFmtId="0" fontId="16" fillId="0" borderId="3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horizontal="center" vertical="center"/>
    </xf>
    <xf numFmtId="0" fontId="16" fillId="0" borderId="29" xfId="0" applyFont="1" applyFill="1" applyBorder="1" applyAlignment="1">
      <alignment horizontal="center" vertical="center"/>
    </xf>
    <xf numFmtId="0" fontId="16" fillId="0" borderId="25" xfId="0" applyFont="1" applyFill="1" applyBorder="1" applyAlignment="1">
      <alignment horizontal="center" vertical="center"/>
    </xf>
    <xf numFmtId="0" fontId="16" fillId="0" borderId="28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/>
    </xf>
    <xf numFmtId="0" fontId="16" fillId="0" borderId="13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164" fontId="14" fillId="0" borderId="7" xfId="0" applyNumberFormat="1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164" fontId="14" fillId="0" borderId="5" xfId="0" applyNumberFormat="1" applyFont="1" applyFill="1" applyBorder="1" applyAlignment="1">
      <alignment horizontal="center" vertical="center"/>
    </xf>
    <xf numFmtId="164" fontId="14" fillId="0" borderId="7" xfId="0" applyNumberFormat="1" applyFont="1" applyFill="1" applyBorder="1" applyAlignment="1">
      <alignment horizontal="center" vertical="center"/>
    </xf>
    <xf numFmtId="0" fontId="14" fillId="0" borderId="5" xfId="0" applyNumberFormat="1" applyFont="1" applyBorder="1" applyAlignment="1">
      <alignment horizontal="center" vertical="center"/>
    </xf>
    <xf numFmtId="0" fontId="14" fillId="0" borderId="7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Optimal_Plan!$A$6</c:f>
              <c:strCache>
                <c:ptCount val="1"/>
                <c:pt idx="0">
                  <c:v>Q3</c:v>
                </c:pt>
              </c:strCache>
            </c:strRef>
          </c:cat>
          <c:val>
            <c:numRef>
              <c:f>Optimal_Plan!$I$6</c:f>
              <c:numCache>
                <c:formatCode>General</c:formatCode>
                <c:ptCount val="1"/>
                <c:pt idx="0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D6-4922-B50C-9C4477477695}"/>
            </c:ext>
          </c:extLst>
        </c:ser>
        <c:ser>
          <c:idx val="1"/>
          <c:order val="1"/>
          <c:tx>
            <c:v>Total Cost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Optimal_Plan!$J$6</c:f>
              <c:numCache>
                <c:formatCode>General</c:formatCode>
                <c:ptCount val="1"/>
                <c:pt idx="0">
                  <c:v>11580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6-4922-B50C-9C4477477695}"/>
            </c:ext>
          </c:extLst>
        </c:ser>
        <c:ser>
          <c:idx val="2"/>
          <c:order val="2"/>
          <c:tx>
            <c:v>Profit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Optimal_Plan!$M$6</c:f>
              <c:numCache>
                <c:formatCode>General</c:formatCode>
                <c:ptCount val="1"/>
                <c:pt idx="0">
                  <c:v>12420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D6-4922-B50C-9C447747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2115408"/>
        <c:axId val="732116064"/>
      </c:barChart>
      <c:catAx>
        <c:axId val="73211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16064"/>
        <c:crosses val="autoZero"/>
        <c:auto val="1"/>
        <c:lblAlgn val="ctr"/>
        <c:lblOffset val="100"/>
        <c:noMultiLvlLbl val="0"/>
      </c:catAx>
      <c:valAx>
        <c:axId val="7321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1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Culminatvie</a:t>
            </a:r>
            <a:r>
              <a:rPr lang="en-GB" baseline="0"/>
              <a:t> Profit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Optimal_Plan!$N$1</c:f>
              <c:strCache>
                <c:ptCount val="1"/>
                <c:pt idx="0">
                  <c:v>Cumulative Profit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Optimal_Plan!$A$1:$A$23</c:f>
              <c:strCache>
                <c:ptCount val="23"/>
                <c:pt idx="0">
                  <c:v>Quarter</c:v>
                </c:pt>
                <c:pt idx="2">
                  <c:v>Q0</c:v>
                </c:pt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</c:strCache>
            </c:strRef>
          </c:cat>
          <c:val>
            <c:numRef>
              <c:f>Optimal_Plan!$N$3:$N$23</c:f>
              <c:numCache>
                <c:formatCode>General</c:formatCode>
                <c:ptCount val="21"/>
                <c:pt idx="0">
                  <c:v>0</c:v>
                </c:pt>
                <c:pt idx="1">
                  <c:v>4880</c:v>
                </c:pt>
                <c:pt idx="2">
                  <c:v>21760</c:v>
                </c:pt>
                <c:pt idx="3">
                  <c:v>34180</c:v>
                </c:pt>
                <c:pt idx="4">
                  <c:v>51060</c:v>
                </c:pt>
                <c:pt idx="5">
                  <c:v>61990</c:v>
                </c:pt>
                <c:pt idx="6">
                  <c:v>75300</c:v>
                </c:pt>
                <c:pt idx="7">
                  <c:v>86630</c:v>
                </c:pt>
                <c:pt idx="8">
                  <c:v>99820</c:v>
                </c:pt>
                <c:pt idx="9">
                  <c:v>114320</c:v>
                </c:pt>
                <c:pt idx="10">
                  <c:v>134350</c:v>
                </c:pt>
                <c:pt idx="11">
                  <c:v>151790</c:v>
                </c:pt>
                <c:pt idx="12">
                  <c:v>172960</c:v>
                </c:pt>
                <c:pt idx="13">
                  <c:v>191920</c:v>
                </c:pt>
                <c:pt idx="14">
                  <c:v>212590</c:v>
                </c:pt>
                <c:pt idx="15">
                  <c:v>227590</c:v>
                </c:pt>
                <c:pt idx="16">
                  <c:v>242140</c:v>
                </c:pt>
                <c:pt idx="17">
                  <c:v>262310</c:v>
                </c:pt>
                <c:pt idx="18">
                  <c:v>281820</c:v>
                </c:pt>
                <c:pt idx="19">
                  <c:v>301290</c:v>
                </c:pt>
                <c:pt idx="20">
                  <c:v>318980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3-47B6-B2CF-6874F5533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028848"/>
        <c:axId val="626030160"/>
      </c:lineChart>
      <c:catAx>
        <c:axId val="62602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30160"/>
        <c:crosses val="autoZero"/>
        <c:auto val="1"/>
        <c:lblAlgn val="ctr"/>
        <c:lblOffset val="100"/>
        <c:noMultiLvlLbl val="0"/>
      </c:catAx>
      <c:valAx>
        <c:axId val="6260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2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GB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Income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Optimal_Plan!$M$1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Optimal_Plan!$M$3:$M$23</c:f>
              <c:numCache>
                <c:formatCode>General</c:formatCode>
                <c:ptCount val="21"/>
                <c:pt idx="0">
                  <c:v>0</c:v>
                </c:pt>
                <c:pt idx="1">
                  <c:v>4880</c:v>
                </c:pt>
                <c:pt idx="2">
                  <c:v>16880</c:v>
                </c:pt>
                <c:pt idx="3">
                  <c:v>12420</c:v>
                </c:pt>
                <c:pt idx="4">
                  <c:v>16880</c:v>
                </c:pt>
                <c:pt idx="5">
                  <c:v>10930</c:v>
                </c:pt>
                <c:pt idx="6">
                  <c:v>13310</c:v>
                </c:pt>
                <c:pt idx="7">
                  <c:v>11330</c:v>
                </c:pt>
                <c:pt idx="8">
                  <c:v>13190</c:v>
                </c:pt>
                <c:pt idx="9">
                  <c:v>14500</c:v>
                </c:pt>
                <c:pt idx="10">
                  <c:v>20030</c:v>
                </c:pt>
                <c:pt idx="11">
                  <c:v>17440</c:v>
                </c:pt>
                <c:pt idx="12">
                  <c:v>21170</c:v>
                </c:pt>
                <c:pt idx="13">
                  <c:v>18960</c:v>
                </c:pt>
                <c:pt idx="14">
                  <c:v>20670</c:v>
                </c:pt>
                <c:pt idx="15">
                  <c:v>15000</c:v>
                </c:pt>
                <c:pt idx="16">
                  <c:v>14550</c:v>
                </c:pt>
                <c:pt idx="17">
                  <c:v>20170</c:v>
                </c:pt>
                <c:pt idx="18">
                  <c:v>19510</c:v>
                </c:pt>
                <c:pt idx="19">
                  <c:v>19470</c:v>
                </c:pt>
                <c:pt idx="20">
                  <c:v>17690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8-411C-9722-4B5CBE6757C7}"/>
            </c:ext>
          </c:extLst>
        </c:ser>
        <c:ser>
          <c:idx val="1"/>
          <c:order val="1"/>
          <c:tx>
            <c:strRef>
              <c:f>Optimal_Plan!$J$1</c:f>
              <c:strCache>
                <c:ptCount val="1"/>
                <c:pt idx="0">
                  <c:v>Total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Model!$A$11:$A$31</c:f>
              <c:strCache>
                <c:ptCount val="21"/>
                <c:pt idx="0">
                  <c:v>Q0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Q5</c:v>
                </c:pt>
                <c:pt idx="6">
                  <c:v>Q6</c:v>
                </c:pt>
                <c:pt idx="7">
                  <c:v>Q7</c:v>
                </c:pt>
                <c:pt idx="8">
                  <c:v>Q8</c:v>
                </c:pt>
                <c:pt idx="9">
                  <c:v>Q9</c:v>
                </c:pt>
                <c:pt idx="10">
                  <c:v>Q10</c:v>
                </c:pt>
                <c:pt idx="11">
                  <c:v>Q11</c:v>
                </c:pt>
                <c:pt idx="12">
                  <c:v>Q12</c:v>
                </c:pt>
                <c:pt idx="13">
                  <c:v>Q13</c:v>
                </c:pt>
                <c:pt idx="14">
                  <c:v>Q14</c:v>
                </c:pt>
                <c:pt idx="15">
                  <c:v>Q15</c:v>
                </c:pt>
                <c:pt idx="16">
                  <c:v>Q16</c:v>
                </c:pt>
                <c:pt idx="17">
                  <c:v>Q17</c:v>
                </c:pt>
                <c:pt idx="18">
                  <c:v>Q18</c:v>
                </c:pt>
                <c:pt idx="19">
                  <c:v>Q19</c:v>
                </c:pt>
                <c:pt idx="20">
                  <c:v>Q20</c:v>
                </c:pt>
              </c:strCache>
            </c:strRef>
          </c:cat>
          <c:val>
            <c:numRef>
              <c:f>Optimal_Plan!$J$3:$J$23</c:f>
              <c:numCache>
                <c:formatCode>General</c:formatCode>
                <c:ptCount val="21"/>
                <c:pt idx="0">
                  <c:v>0</c:v>
                </c:pt>
                <c:pt idx="1">
                  <c:v>19120</c:v>
                </c:pt>
                <c:pt idx="2">
                  <c:v>7120</c:v>
                </c:pt>
                <c:pt idx="3">
                  <c:v>11580</c:v>
                </c:pt>
                <c:pt idx="4">
                  <c:v>7120</c:v>
                </c:pt>
                <c:pt idx="5">
                  <c:v>15740</c:v>
                </c:pt>
                <c:pt idx="6">
                  <c:v>14020</c:v>
                </c:pt>
                <c:pt idx="7">
                  <c:v>16680</c:v>
                </c:pt>
                <c:pt idx="8">
                  <c:v>15520</c:v>
                </c:pt>
                <c:pt idx="9">
                  <c:v>14920</c:v>
                </c:pt>
                <c:pt idx="10">
                  <c:v>10120</c:v>
                </c:pt>
                <c:pt idx="11">
                  <c:v>13460</c:v>
                </c:pt>
                <c:pt idx="12">
                  <c:v>10500</c:v>
                </c:pt>
                <c:pt idx="13">
                  <c:v>13500</c:v>
                </c:pt>
                <c:pt idx="14">
                  <c:v>12600</c:v>
                </c:pt>
                <c:pt idx="15">
                  <c:v>15000</c:v>
                </c:pt>
                <c:pt idx="16">
                  <c:v>18300</c:v>
                </c:pt>
                <c:pt idx="17">
                  <c:v>13500</c:v>
                </c:pt>
                <c:pt idx="18">
                  <c:v>15000</c:v>
                </c:pt>
                <c:pt idx="19">
                  <c:v>15900</c:v>
                </c:pt>
                <c:pt idx="20">
                  <c:v>18560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A8-411C-9722-4B5CBE675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78863056"/>
        <c:axId val="678865680"/>
      </c:barChart>
      <c:catAx>
        <c:axId val="6788630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865680"/>
        <c:crosses val="autoZero"/>
        <c:auto val="1"/>
        <c:lblAlgn val="ctr"/>
        <c:lblOffset val="100"/>
        <c:noMultiLvlLbl val="0"/>
      </c:catAx>
      <c:valAx>
        <c:axId val="67886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86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93A8CD-6CC5-450D-A2C9-D2FA2090A732}">
  <sheetPr codeName="Chart4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33805D-9DD8-4CCD-A0DA-46A3EEE1226F}">
  <sheetPr codeName="Chart5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175260</xdr:colOff>
          <xdr:row>0</xdr:row>
          <xdr:rowOff>312420</xdr:rowOff>
        </xdr:from>
        <xdr:to>
          <xdr:col>21</xdr:col>
          <xdr:colOff>609600</xdr:colOff>
          <xdr:row>2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5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Get the Optimal Profit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</xdr:colOff>
          <xdr:row>4</xdr:row>
          <xdr:rowOff>205740</xdr:rowOff>
        </xdr:from>
        <xdr:to>
          <xdr:col>12</xdr:col>
          <xdr:colOff>640080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5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See Quarter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5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Quarter Go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198120</xdr:colOff>
          <xdr:row>4</xdr:row>
          <xdr:rowOff>137160</xdr:rowOff>
        </xdr:from>
        <xdr:to>
          <xdr:col>21</xdr:col>
          <xdr:colOff>609600</xdr:colOff>
          <xdr:row>6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5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Reset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4</xdr:row>
          <xdr:rowOff>205740</xdr:rowOff>
        </xdr:from>
        <xdr:to>
          <xdr:col>9</xdr:col>
          <xdr:colOff>7620</xdr:colOff>
          <xdr:row>7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5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Check if the order is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182880</xdr:colOff>
          <xdr:row>2</xdr:row>
          <xdr:rowOff>243840</xdr:rowOff>
        </xdr:from>
        <xdr:to>
          <xdr:col>21</xdr:col>
          <xdr:colOff>617220</xdr:colOff>
          <xdr:row>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See Optimal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5</xdr:row>
          <xdr:rowOff>7620</xdr:rowOff>
        </xdr:from>
        <xdr:to>
          <xdr:col>16</xdr:col>
          <xdr:colOff>1363980</xdr:colOff>
          <xdr:row>6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Reset Colour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36408</xdr:colOff>
      <xdr:row>2</xdr:row>
      <xdr:rowOff>34078</xdr:rowOff>
    </xdr:from>
    <xdr:to>
      <xdr:col>22</xdr:col>
      <xdr:colOff>137160</xdr:colOff>
      <xdr:row>23</xdr:row>
      <xdr:rowOff>109220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68580</xdr:rowOff>
        </xdr:from>
        <xdr:to>
          <xdr:col>16</xdr:col>
          <xdr:colOff>144780</xdr:colOff>
          <xdr:row>1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View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76200</xdr:rowOff>
        </xdr:from>
        <xdr:to>
          <xdr:col>19</xdr:col>
          <xdr:colOff>502920</xdr:colOff>
          <xdr:row>1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View Specific Quarter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533400</xdr:colOff>
          <xdr:row>0</xdr:row>
          <xdr:rowOff>83820</xdr:rowOff>
        </xdr:from>
        <xdr:to>
          <xdr:col>21</xdr:col>
          <xdr:colOff>556260</xdr:colOff>
          <xdr:row>1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Back To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3C629-7AF7-433F-B5E6-C328D583BE88}">
  <sheetPr codeName="Sheet1"/>
  <dimension ref="A1:Z33"/>
  <sheetViews>
    <sheetView tabSelected="1" zoomScale="82" zoomScaleNormal="82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Q4" sqref="Q4:R4"/>
    </sheetView>
  </sheetViews>
  <sheetFormatPr defaultColWidth="9.109375" defaultRowHeight="13.8"/>
  <cols>
    <col min="1" max="1" width="10.21875" style="7" bestFit="1" customWidth="1"/>
    <col min="2" max="2" width="1.77734375" style="7" customWidth="1"/>
    <col min="3" max="3" width="6.6640625" style="7" bestFit="1" customWidth="1"/>
    <col min="4" max="4" width="6.33203125" style="7" customWidth="1"/>
    <col min="5" max="5" width="1.77734375" style="7" customWidth="1"/>
    <col min="6" max="7" width="9.33203125" style="10" customWidth="1"/>
    <col min="8" max="8" width="1.77734375" style="10" customWidth="1"/>
    <col min="9" max="10" width="9.33203125" style="10" customWidth="1"/>
    <col min="11" max="11" width="1.77734375" style="10" customWidth="1"/>
    <col min="12" max="12" width="10.109375" style="10" bestFit="1" customWidth="1"/>
    <col min="13" max="13" width="11.88671875" style="10" bestFit="1" customWidth="1"/>
    <col min="14" max="14" width="12.109375" style="10" bestFit="1" customWidth="1"/>
    <col min="15" max="15" width="15.109375" style="10" bestFit="1" customWidth="1"/>
    <col min="16" max="16" width="9.88671875" style="10" bestFit="1" customWidth="1"/>
    <col min="17" max="17" width="19.88671875" style="10" bestFit="1" customWidth="1"/>
    <col min="18" max="18" width="1.77734375" style="10" customWidth="1"/>
    <col min="19" max="19" width="7.21875" style="10" bestFit="1" customWidth="1"/>
    <col min="20" max="20" width="9.5546875" style="10" bestFit="1" customWidth="1"/>
    <col min="21" max="21" width="8.77734375" style="10" bestFit="1" customWidth="1"/>
    <col min="22" max="22" width="10.109375" style="10" bestFit="1" customWidth="1"/>
    <col min="23" max="23" width="15.21875" style="10" bestFit="1" customWidth="1"/>
    <col min="24" max="24" width="1.77734375" style="9" customWidth="1"/>
    <col min="25" max="25" width="21.5546875" style="9" bestFit="1" customWidth="1"/>
    <col min="26" max="26" width="6.21875" style="9" bestFit="1" customWidth="1"/>
    <col min="27" max="27" width="7" style="9" bestFit="1" customWidth="1"/>
    <col min="28" max="16384" width="9.109375" style="9"/>
  </cols>
  <sheetData>
    <row r="1" spans="1:26" ht="24.6">
      <c r="B1" s="1"/>
      <c r="C1" s="1"/>
      <c r="D1" s="1"/>
      <c r="E1" s="1"/>
      <c r="F1" s="2"/>
      <c r="G1" s="2"/>
      <c r="H1" s="2"/>
      <c r="I1" s="12" t="s">
        <v>0</v>
      </c>
      <c r="J1" s="2"/>
      <c r="K1" s="9"/>
      <c r="M1" s="2"/>
      <c r="N1" s="2"/>
      <c r="O1" s="2"/>
      <c r="P1" s="2"/>
      <c r="Q1" s="2"/>
      <c r="R1" s="2"/>
      <c r="S1" s="2"/>
      <c r="T1" s="3"/>
      <c r="U1" s="2"/>
      <c r="V1" s="2"/>
      <c r="W1" s="2"/>
      <c r="X1" s="4"/>
    </row>
    <row r="2" spans="1:26" ht="16.2" thickBot="1">
      <c r="A2" s="1"/>
      <c r="B2" s="1"/>
      <c r="C2" s="1"/>
      <c r="D2" s="1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  <c r="U2" s="2"/>
      <c r="V2" s="2"/>
    </row>
    <row r="3" spans="1:26" ht="22.8" thickTop="1" thickBot="1">
      <c r="A3" s="1"/>
      <c r="E3" s="56" t="s">
        <v>46</v>
      </c>
      <c r="F3" s="60"/>
      <c r="G3" s="57"/>
      <c r="I3" s="56" t="s">
        <v>45</v>
      </c>
      <c r="J3" s="57"/>
      <c r="L3" s="56" t="s">
        <v>47</v>
      </c>
      <c r="M3" s="57"/>
      <c r="O3" s="56" t="s">
        <v>48</v>
      </c>
      <c r="P3" s="57"/>
      <c r="Q3" s="56" t="s">
        <v>52</v>
      </c>
      <c r="R3" s="57"/>
      <c r="U3" s="2"/>
      <c r="V3" s="2"/>
    </row>
    <row r="4" spans="1:26" ht="22.8" thickTop="1" thickBot="1">
      <c r="A4" s="1"/>
      <c r="E4" s="58">
        <f>SUM(L11:L31)</f>
        <v>597240</v>
      </c>
      <c r="F4" s="61"/>
      <c r="G4" s="59"/>
      <c r="I4" s="58">
        <f>SUM(M11:M31)</f>
        <v>333500</v>
      </c>
      <c r="J4" s="59"/>
      <c r="L4" s="58">
        <f>E4-I4</f>
        <v>263740</v>
      </c>
      <c r="M4" s="59"/>
      <c r="O4" s="64">
        <v>100</v>
      </c>
      <c r="P4" s="65"/>
      <c r="Q4" s="62">
        <v>346090</v>
      </c>
      <c r="R4" s="63"/>
      <c r="U4" s="2"/>
      <c r="V4" s="2"/>
      <c r="W4" s="2"/>
      <c r="X4" s="4"/>
    </row>
    <row r="5" spans="1:26" ht="16.2" thickTop="1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"/>
      <c r="U5" s="2"/>
      <c r="V5" s="2"/>
      <c r="W5" s="2"/>
      <c r="X5" s="4"/>
    </row>
    <row r="6" spans="1:26" ht="15.6">
      <c r="A6" s="1"/>
      <c r="B6" s="1"/>
      <c r="C6" s="1"/>
      <c r="D6" s="1"/>
      <c r="E6" s="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3"/>
      <c r="U6" s="2"/>
      <c r="V6" s="2"/>
      <c r="W6" s="2"/>
      <c r="X6" s="4"/>
    </row>
    <row r="7" spans="1:26" ht="15.6">
      <c r="A7" s="1"/>
      <c r="B7" s="1"/>
      <c r="C7" s="1"/>
      <c r="D7" s="1"/>
      <c r="E7" s="1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3"/>
      <c r="U7" s="2"/>
      <c r="V7" s="2"/>
      <c r="W7" s="2"/>
      <c r="X7" s="4"/>
    </row>
    <row r="8" spans="1:26" s="5" customFormat="1" ht="14.4" thickBot="1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6" s="5" customFormat="1" ht="14.4" customHeight="1">
      <c r="A9" s="46" t="s">
        <v>1</v>
      </c>
      <c r="B9" s="13"/>
      <c r="C9" s="54" t="s">
        <v>53</v>
      </c>
      <c r="D9" s="55"/>
      <c r="E9" s="13"/>
      <c r="F9" s="54" t="s">
        <v>2</v>
      </c>
      <c r="G9" s="55"/>
      <c r="H9" s="13"/>
      <c r="I9" s="54" t="s">
        <v>3</v>
      </c>
      <c r="J9" s="55"/>
      <c r="K9" s="13"/>
      <c r="L9" s="52" t="s">
        <v>4</v>
      </c>
      <c r="M9" s="50" t="s">
        <v>45</v>
      </c>
      <c r="N9" s="50" t="s">
        <v>5</v>
      </c>
      <c r="O9" s="50" t="s">
        <v>6</v>
      </c>
      <c r="P9" s="50" t="s">
        <v>7</v>
      </c>
      <c r="Q9" s="48" t="s">
        <v>50</v>
      </c>
      <c r="R9" s="18"/>
      <c r="S9" s="52" t="s">
        <v>49</v>
      </c>
      <c r="T9" s="50" t="s">
        <v>8</v>
      </c>
      <c r="U9" s="50" t="s">
        <v>9</v>
      </c>
      <c r="V9" s="50" t="s">
        <v>10</v>
      </c>
      <c r="W9" s="48" t="s">
        <v>11</v>
      </c>
    </row>
    <row r="10" spans="1:26" s="5" customFormat="1" ht="16.2" thickBot="1">
      <c r="A10" s="47"/>
      <c r="B10" s="13"/>
      <c r="C10" s="22" t="s">
        <v>12</v>
      </c>
      <c r="D10" s="23" t="s">
        <v>13</v>
      </c>
      <c r="E10" s="14"/>
      <c r="F10" s="22" t="s">
        <v>12</v>
      </c>
      <c r="G10" s="23" t="s">
        <v>13</v>
      </c>
      <c r="H10" s="14"/>
      <c r="I10" s="22" t="s">
        <v>12</v>
      </c>
      <c r="J10" s="23" t="s">
        <v>13</v>
      </c>
      <c r="K10" s="13"/>
      <c r="L10" s="53"/>
      <c r="M10" s="51"/>
      <c r="N10" s="51"/>
      <c r="O10" s="51"/>
      <c r="P10" s="51"/>
      <c r="Q10" s="49"/>
      <c r="R10" s="18"/>
      <c r="S10" s="53"/>
      <c r="T10" s="51"/>
      <c r="U10" s="51"/>
      <c r="V10" s="51"/>
      <c r="W10" s="49"/>
    </row>
    <row r="11" spans="1:26" ht="15.6" thickTop="1">
      <c r="A11" s="20" t="s">
        <v>14</v>
      </c>
      <c r="B11" s="8"/>
      <c r="C11" s="24">
        <v>5</v>
      </c>
      <c r="D11" s="25">
        <v>0</v>
      </c>
      <c r="E11" s="8"/>
      <c r="F11" s="24">
        <v>4</v>
      </c>
      <c r="G11" s="25">
        <v>3</v>
      </c>
      <c r="H11" s="11"/>
      <c r="I11" s="24">
        <v>4</v>
      </c>
      <c r="J11" s="25">
        <v>2</v>
      </c>
      <c r="L11" s="24">
        <f t="shared" ref="L11:L31" si="0">U11*$Z$17</f>
        <v>0</v>
      </c>
      <c r="M11" s="30">
        <f t="shared" ref="M11:M31" si="1">N11+O11</f>
        <v>0</v>
      </c>
      <c r="N11" s="30">
        <v>0</v>
      </c>
      <c r="O11" s="30">
        <v>0</v>
      </c>
      <c r="P11" s="30">
        <f t="shared" ref="P11:P31" si="2">L11-M11</f>
        <v>0</v>
      </c>
      <c r="Q11" s="25">
        <f>P11</f>
        <v>0</v>
      </c>
      <c r="S11" s="24" t="str">
        <f t="shared" ref="S11:S31" si="3">IF(T11&gt;U11,"Order","Not")</f>
        <v>Not</v>
      </c>
      <c r="T11" s="30">
        <v>0</v>
      </c>
      <c r="U11" s="30">
        <v>0</v>
      </c>
      <c r="V11" s="30">
        <v>2800</v>
      </c>
      <c r="W11" s="40">
        <v>0</v>
      </c>
      <c r="X11" s="4"/>
      <c r="Y11" s="37" t="s">
        <v>36</v>
      </c>
      <c r="Z11" s="33">
        <v>600</v>
      </c>
    </row>
    <row r="12" spans="1:26" ht="15">
      <c r="A12" s="20" t="s">
        <v>15</v>
      </c>
      <c r="B12" s="8"/>
      <c r="C12" s="26">
        <v>-1</v>
      </c>
      <c r="D12" s="27">
        <v>1</v>
      </c>
      <c r="E12" s="8"/>
      <c r="F12" s="26">
        <v>0</v>
      </c>
      <c r="G12" s="27">
        <v>2</v>
      </c>
      <c r="H12" s="11"/>
      <c r="I12" s="26">
        <v>4</v>
      </c>
      <c r="J12" s="27">
        <v>2</v>
      </c>
      <c r="L12" s="26">
        <f t="shared" si="0"/>
        <v>24000</v>
      </c>
      <c r="M12" s="31">
        <f t="shared" si="1"/>
        <v>8920</v>
      </c>
      <c r="N12" s="31">
        <f t="shared" ref="N12:N31" si="4">IF(F12*$Z$13+G12*$Z$14&gt;0,F12*$Z$13+G12*$Z$14,0)</f>
        <v>1800</v>
      </c>
      <c r="O12" s="31">
        <f t="shared" ref="O12:O31" si="5">IF(I12*$Z$15+J12*$Z$16&gt;0,I12*$Z$15+J12*$Z$16,0)</f>
        <v>7120</v>
      </c>
      <c r="P12" s="31">
        <f t="shared" si="2"/>
        <v>15080</v>
      </c>
      <c r="Q12" s="27">
        <f t="shared" ref="Q12:Q31" si="6">Q11+P12</f>
        <v>15080</v>
      </c>
      <c r="S12" s="26" t="str">
        <f t="shared" si="3"/>
        <v>Order</v>
      </c>
      <c r="T12" s="31">
        <v>4000</v>
      </c>
      <c r="U12" s="31">
        <f t="shared" ref="U12:U31" si="7">IF(T12&lt;V12,T12,V12)</f>
        <v>2400</v>
      </c>
      <c r="V12" s="31">
        <f t="shared" ref="V12:V31" si="8">I12*$Z$11+J127*$Z$12</f>
        <v>2400</v>
      </c>
      <c r="W12" s="41">
        <f t="shared" ref="W12:W31" si="9">IF($Z$18-$Z$19*(T12-V12)&lt;$Z$18, $Z$18-$Z$19*(T12-V12), $Z$18)</f>
        <v>-0.215</v>
      </c>
      <c r="X12" s="4"/>
      <c r="Y12" s="38" t="s">
        <v>37</v>
      </c>
      <c r="Z12" s="34">
        <v>200</v>
      </c>
    </row>
    <row r="13" spans="1:26" ht="15">
      <c r="A13" s="20" t="s">
        <v>16</v>
      </c>
      <c r="B13" s="8"/>
      <c r="C13" s="26">
        <v>2</v>
      </c>
      <c r="D13" s="27">
        <v>-1</v>
      </c>
      <c r="E13" s="8"/>
      <c r="F13" s="26">
        <v>-1</v>
      </c>
      <c r="G13" s="27">
        <v>2</v>
      </c>
      <c r="H13" s="11"/>
      <c r="I13" s="26">
        <v>4</v>
      </c>
      <c r="J13" s="27">
        <f t="shared" ref="J13:J31" si="10">IF(J12+G11&gt;0,J12+G11,0)</f>
        <v>5</v>
      </c>
      <c r="L13" s="26">
        <f t="shared" si="0"/>
        <v>24000</v>
      </c>
      <c r="M13" s="31">
        <f t="shared" si="1"/>
        <v>8800</v>
      </c>
      <c r="N13" s="31">
        <f t="shared" si="4"/>
        <v>0</v>
      </c>
      <c r="O13" s="31">
        <f t="shared" si="5"/>
        <v>8800</v>
      </c>
      <c r="P13" s="31">
        <f t="shared" si="2"/>
        <v>15200</v>
      </c>
      <c r="Q13" s="27">
        <f t="shared" si="6"/>
        <v>30280</v>
      </c>
      <c r="S13" s="26" t="str">
        <f t="shared" si="3"/>
        <v>Order</v>
      </c>
      <c r="T13" s="31">
        <f>ROUNDDOWN(T12*(1+W12),0)</f>
        <v>3140</v>
      </c>
      <c r="U13" s="31">
        <f t="shared" si="7"/>
        <v>2400</v>
      </c>
      <c r="V13" s="31">
        <f t="shared" si="8"/>
        <v>2400</v>
      </c>
      <c r="W13" s="41">
        <f t="shared" si="9"/>
        <v>-8.5999999999999993E-2</v>
      </c>
      <c r="X13" s="4"/>
      <c r="Y13" s="38" t="s">
        <v>38</v>
      </c>
      <c r="Z13" s="34">
        <v>2400</v>
      </c>
    </row>
    <row r="14" spans="1:26" ht="15">
      <c r="A14" s="20" t="s">
        <v>17</v>
      </c>
      <c r="B14" s="8"/>
      <c r="C14" s="26">
        <v>-2</v>
      </c>
      <c r="D14" s="27">
        <v>2</v>
      </c>
      <c r="E14" s="8"/>
      <c r="F14" s="26">
        <v>2</v>
      </c>
      <c r="G14" s="27">
        <v>-1</v>
      </c>
      <c r="H14" s="11"/>
      <c r="I14" s="26">
        <v>4</v>
      </c>
      <c r="J14" s="27">
        <f t="shared" si="10"/>
        <v>7</v>
      </c>
      <c r="L14" s="26">
        <f t="shared" si="0"/>
        <v>24000</v>
      </c>
      <c r="M14" s="31">
        <f t="shared" si="1"/>
        <v>13820</v>
      </c>
      <c r="N14" s="31">
        <f t="shared" si="4"/>
        <v>3900</v>
      </c>
      <c r="O14" s="31">
        <f t="shared" si="5"/>
        <v>9920</v>
      </c>
      <c r="P14" s="31">
        <f t="shared" si="2"/>
        <v>10180</v>
      </c>
      <c r="Q14" s="27">
        <f t="shared" si="6"/>
        <v>40460</v>
      </c>
      <c r="S14" s="26" t="str">
        <f t="shared" si="3"/>
        <v>Order</v>
      </c>
      <c r="T14" s="31">
        <f t="shared" ref="T14:T31" si="11">ROUNDDOWN(T13*(1+W13),0)</f>
        <v>2869</v>
      </c>
      <c r="U14" s="31">
        <f t="shared" si="7"/>
        <v>2400</v>
      </c>
      <c r="V14" s="31">
        <f t="shared" si="8"/>
        <v>2400</v>
      </c>
      <c r="W14" s="41">
        <f t="shared" si="9"/>
        <v>-4.5349999999999994E-2</v>
      </c>
      <c r="X14" s="4"/>
      <c r="Y14" s="38" t="s">
        <v>39</v>
      </c>
      <c r="Z14" s="34">
        <v>900</v>
      </c>
    </row>
    <row r="15" spans="1:26" ht="15">
      <c r="A15" s="20" t="s">
        <v>18</v>
      </c>
      <c r="B15" s="8"/>
      <c r="C15" s="26">
        <v>-2</v>
      </c>
      <c r="D15" s="27">
        <v>-2</v>
      </c>
      <c r="E15" s="8"/>
      <c r="F15" s="26">
        <v>0</v>
      </c>
      <c r="G15" s="27">
        <v>1</v>
      </c>
      <c r="H15" s="11"/>
      <c r="I15" s="26">
        <v>4</v>
      </c>
      <c r="J15" s="27">
        <f t="shared" si="10"/>
        <v>9</v>
      </c>
      <c r="L15" s="26">
        <f t="shared" si="0"/>
        <v>24000</v>
      </c>
      <c r="M15" s="31">
        <f t="shared" si="1"/>
        <v>11940</v>
      </c>
      <c r="N15" s="31">
        <f t="shared" si="4"/>
        <v>900</v>
      </c>
      <c r="O15" s="31">
        <f t="shared" si="5"/>
        <v>11040</v>
      </c>
      <c r="P15" s="31">
        <f t="shared" si="2"/>
        <v>12060</v>
      </c>
      <c r="Q15" s="27">
        <f t="shared" si="6"/>
        <v>52520</v>
      </c>
      <c r="S15" s="26" t="str">
        <f t="shared" si="3"/>
        <v>Order</v>
      </c>
      <c r="T15" s="31">
        <f t="shared" si="11"/>
        <v>2738</v>
      </c>
      <c r="U15" s="31">
        <f>IF(T15&lt;V15,T15,V15)</f>
        <v>2400</v>
      </c>
      <c r="V15" s="31">
        <f t="shared" si="8"/>
        <v>2400</v>
      </c>
      <c r="W15" s="41">
        <f t="shared" si="9"/>
        <v>-2.5699999999999994E-2</v>
      </c>
      <c r="X15" s="4"/>
      <c r="Y15" s="38" t="s">
        <v>40</v>
      </c>
      <c r="Z15" s="34">
        <v>1500</v>
      </c>
    </row>
    <row r="16" spans="1:26" ht="15">
      <c r="A16" s="20" t="s">
        <v>19</v>
      </c>
      <c r="B16" s="8"/>
      <c r="C16" s="26">
        <v>0</v>
      </c>
      <c r="D16" s="27">
        <v>1</v>
      </c>
      <c r="E16" s="8"/>
      <c r="F16" s="26">
        <v>0</v>
      </c>
      <c r="G16" s="27">
        <v>1</v>
      </c>
      <c r="H16" s="11"/>
      <c r="I16" s="26">
        <f t="shared" ref="I16:I31" si="12">IF(I15+F11&gt;0,I15+F11,0)</f>
        <v>8</v>
      </c>
      <c r="J16" s="27">
        <f t="shared" si="10"/>
        <v>8</v>
      </c>
      <c r="L16" s="26">
        <f t="shared" si="0"/>
        <v>26670</v>
      </c>
      <c r="M16" s="31">
        <f t="shared" si="1"/>
        <v>17380</v>
      </c>
      <c r="N16" s="31">
        <f t="shared" si="4"/>
        <v>900</v>
      </c>
      <c r="O16" s="31">
        <f t="shared" si="5"/>
        <v>16480</v>
      </c>
      <c r="P16" s="31">
        <f t="shared" si="2"/>
        <v>9290</v>
      </c>
      <c r="Q16" s="27">
        <f t="shared" si="6"/>
        <v>61810</v>
      </c>
      <c r="S16" s="26" t="str">
        <f t="shared" si="3"/>
        <v>Not</v>
      </c>
      <c r="T16" s="31">
        <f t="shared" si="11"/>
        <v>2667</v>
      </c>
      <c r="U16" s="31">
        <f>IF(T16&lt;V16,T16,V16)</f>
        <v>2667</v>
      </c>
      <c r="V16" s="31">
        <f>I16*$Z$11+J131*$Z$12</f>
        <v>4800</v>
      </c>
      <c r="W16" s="41">
        <f t="shared" si="9"/>
        <v>2.5000000000000001E-2</v>
      </c>
      <c r="X16" s="4"/>
      <c r="Y16" s="38" t="s">
        <v>41</v>
      </c>
      <c r="Z16" s="34">
        <v>560</v>
      </c>
    </row>
    <row r="17" spans="1:26" ht="15">
      <c r="A17" s="20" t="s">
        <v>20</v>
      </c>
      <c r="B17" s="8"/>
      <c r="C17" s="26">
        <v>0</v>
      </c>
      <c r="D17" s="27">
        <v>-1</v>
      </c>
      <c r="E17" s="8"/>
      <c r="F17" s="26">
        <v>-2</v>
      </c>
      <c r="G17" s="27">
        <v>2</v>
      </c>
      <c r="H17" s="11"/>
      <c r="I17" s="26">
        <f t="shared" si="12"/>
        <v>8</v>
      </c>
      <c r="J17" s="27">
        <f t="shared" si="10"/>
        <v>9</v>
      </c>
      <c r="L17" s="26">
        <f t="shared" si="0"/>
        <v>27330</v>
      </c>
      <c r="M17" s="31">
        <f t="shared" si="1"/>
        <v>17040</v>
      </c>
      <c r="N17" s="31">
        <f t="shared" si="4"/>
        <v>0</v>
      </c>
      <c r="O17" s="31">
        <f t="shared" si="5"/>
        <v>17040</v>
      </c>
      <c r="P17" s="31">
        <f t="shared" si="2"/>
        <v>10290</v>
      </c>
      <c r="Q17" s="27">
        <f t="shared" si="6"/>
        <v>72100</v>
      </c>
      <c r="S17" s="26" t="str">
        <f t="shared" si="3"/>
        <v>Not</v>
      </c>
      <c r="T17" s="31">
        <f t="shared" si="11"/>
        <v>2733</v>
      </c>
      <c r="U17" s="31">
        <f t="shared" si="7"/>
        <v>2733</v>
      </c>
      <c r="V17" s="31">
        <f t="shared" si="8"/>
        <v>4800</v>
      </c>
      <c r="W17" s="41">
        <f t="shared" si="9"/>
        <v>2.5000000000000001E-2</v>
      </c>
      <c r="X17" s="4"/>
      <c r="Y17" s="38" t="s">
        <v>42</v>
      </c>
      <c r="Z17" s="34">
        <v>10</v>
      </c>
    </row>
    <row r="18" spans="1:26" ht="15">
      <c r="A18" s="20" t="s">
        <v>21</v>
      </c>
      <c r="B18" s="8"/>
      <c r="C18" s="26">
        <v>1</v>
      </c>
      <c r="D18" s="27">
        <v>0</v>
      </c>
      <c r="E18" s="8"/>
      <c r="F18" s="26">
        <v>0</v>
      </c>
      <c r="G18" s="27">
        <v>-2</v>
      </c>
      <c r="H18" s="11"/>
      <c r="I18" s="26">
        <f t="shared" si="12"/>
        <v>7</v>
      </c>
      <c r="J18" s="27">
        <f t="shared" si="10"/>
        <v>10</v>
      </c>
      <c r="L18" s="26">
        <f t="shared" si="0"/>
        <v>28010</v>
      </c>
      <c r="M18" s="31">
        <f t="shared" si="1"/>
        <v>16100</v>
      </c>
      <c r="N18" s="31">
        <f t="shared" si="4"/>
        <v>0</v>
      </c>
      <c r="O18" s="31">
        <f t="shared" si="5"/>
        <v>16100</v>
      </c>
      <c r="P18" s="31">
        <f t="shared" si="2"/>
        <v>11910</v>
      </c>
      <c r="Q18" s="27">
        <f t="shared" si="6"/>
        <v>84010</v>
      </c>
      <c r="S18" s="26" t="str">
        <f t="shared" si="3"/>
        <v>Not</v>
      </c>
      <c r="T18" s="31">
        <f t="shared" si="11"/>
        <v>2801</v>
      </c>
      <c r="U18" s="31">
        <f t="shared" si="7"/>
        <v>2801</v>
      </c>
      <c r="V18" s="31">
        <f t="shared" si="8"/>
        <v>4200</v>
      </c>
      <c r="W18" s="41">
        <f t="shared" si="9"/>
        <v>2.5000000000000001E-2</v>
      </c>
      <c r="X18" s="4"/>
      <c r="Y18" s="38" t="s">
        <v>43</v>
      </c>
      <c r="Z18" s="35">
        <v>2.5000000000000001E-2</v>
      </c>
    </row>
    <row r="19" spans="1:26" ht="15.6" thickBot="1">
      <c r="A19" s="20" t="s">
        <v>22</v>
      </c>
      <c r="B19" s="8"/>
      <c r="C19" s="26">
        <v>2</v>
      </c>
      <c r="D19" s="27">
        <v>0</v>
      </c>
      <c r="E19" s="8"/>
      <c r="F19" s="26">
        <v>2</v>
      </c>
      <c r="G19" s="27">
        <v>-1</v>
      </c>
      <c r="H19" s="11"/>
      <c r="I19" s="26">
        <f t="shared" si="12"/>
        <v>9</v>
      </c>
      <c r="J19" s="27">
        <f t="shared" si="10"/>
        <v>12</v>
      </c>
      <c r="L19" s="26">
        <f t="shared" si="0"/>
        <v>28710</v>
      </c>
      <c r="M19" s="31">
        <f t="shared" si="1"/>
        <v>24120</v>
      </c>
      <c r="N19" s="31">
        <f t="shared" si="4"/>
        <v>3900</v>
      </c>
      <c r="O19" s="31">
        <f t="shared" si="5"/>
        <v>20220</v>
      </c>
      <c r="P19" s="31">
        <f t="shared" si="2"/>
        <v>4590</v>
      </c>
      <c r="Q19" s="27">
        <f t="shared" si="6"/>
        <v>88600</v>
      </c>
      <c r="S19" s="26" t="str">
        <f t="shared" si="3"/>
        <v>Not</v>
      </c>
      <c r="T19" s="31">
        <f t="shared" si="11"/>
        <v>2871</v>
      </c>
      <c r="U19" s="31">
        <f t="shared" si="7"/>
        <v>2871</v>
      </c>
      <c r="V19" s="31">
        <f t="shared" si="8"/>
        <v>5400</v>
      </c>
      <c r="W19" s="41">
        <f t="shared" si="9"/>
        <v>2.5000000000000001E-2</v>
      </c>
      <c r="X19" s="4"/>
      <c r="Y19" s="39" t="s">
        <v>44</v>
      </c>
      <c r="Z19" s="36">
        <v>1.4999999999999999E-4</v>
      </c>
    </row>
    <row r="20" spans="1:26" ht="15">
      <c r="A20" s="20" t="s">
        <v>23</v>
      </c>
      <c r="B20" s="8"/>
      <c r="C20" s="26">
        <v>-1</v>
      </c>
      <c r="D20" s="27">
        <v>-1</v>
      </c>
      <c r="E20" s="8"/>
      <c r="F20" s="26">
        <v>-2</v>
      </c>
      <c r="G20" s="27">
        <v>-1</v>
      </c>
      <c r="H20" s="11"/>
      <c r="I20" s="26">
        <f t="shared" si="12"/>
        <v>9</v>
      </c>
      <c r="J20" s="27">
        <f t="shared" si="10"/>
        <v>10</v>
      </c>
      <c r="L20" s="26">
        <f t="shared" si="0"/>
        <v>29420</v>
      </c>
      <c r="M20" s="31">
        <f t="shared" si="1"/>
        <v>19100</v>
      </c>
      <c r="N20" s="31">
        <f t="shared" si="4"/>
        <v>0</v>
      </c>
      <c r="O20" s="31">
        <f t="shared" si="5"/>
        <v>19100</v>
      </c>
      <c r="P20" s="31">
        <f t="shared" si="2"/>
        <v>10320</v>
      </c>
      <c r="Q20" s="27">
        <f t="shared" si="6"/>
        <v>98920</v>
      </c>
      <c r="S20" s="26" t="str">
        <f t="shared" si="3"/>
        <v>Not</v>
      </c>
      <c r="T20" s="31">
        <f t="shared" si="11"/>
        <v>2942</v>
      </c>
      <c r="U20" s="31">
        <f t="shared" si="7"/>
        <v>2942</v>
      </c>
      <c r="V20" s="31">
        <f t="shared" si="8"/>
        <v>5400</v>
      </c>
      <c r="W20" s="41">
        <f t="shared" si="9"/>
        <v>2.5000000000000001E-2</v>
      </c>
      <c r="X20" s="4"/>
    </row>
    <row r="21" spans="1:26" ht="15">
      <c r="A21" s="20" t="s">
        <v>24</v>
      </c>
      <c r="B21" s="8"/>
      <c r="C21" s="26">
        <v>2</v>
      </c>
      <c r="D21" s="27">
        <v>-1</v>
      </c>
      <c r="E21" s="8"/>
      <c r="F21" s="26">
        <v>-2</v>
      </c>
      <c r="G21" s="27">
        <v>0</v>
      </c>
      <c r="H21" s="11"/>
      <c r="I21" s="26">
        <f t="shared" si="12"/>
        <v>9</v>
      </c>
      <c r="J21" s="27">
        <f t="shared" si="10"/>
        <v>9</v>
      </c>
      <c r="L21" s="26">
        <f t="shared" si="0"/>
        <v>30150</v>
      </c>
      <c r="M21" s="31">
        <f t="shared" si="1"/>
        <v>18540</v>
      </c>
      <c r="N21" s="31">
        <f t="shared" si="4"/>
        <v>0</v>
      </c>
      <c r="O21" s="31">
        <f t="shared" si="5"/>
        <v>18540</v>
      </c>
      <c r="P21" s="31">
        <f t="shared" si="2"/>
        <v>11610</v>
      </c>
      <c r="Q21" s="27">
        <f t="shared" si="6"/>
        <v>110530</v>
      </c>
      <c r="S21" s="26" t="str">
        <f t="shared" si="3"/>
        <v>Not</v>
      </c>
      <c r="T21" s="31">
        <f t="shared" si="11"/>
        <v>3015</v>
      </c>
      <c r="U21" s="31">
        <f t="shared" si="7"/>
        <v>3015</v>
      </c>
      <c r="V21" s="31">
        <f t="shared" si="8"/>
        <v>5400</v>
      </c>
      <c r="W21" s="41">
        <f t="shared" si="9"/>
        <v>2.5000000000000001E-2</v>
      </c>
      <c r="X21" s="4"/>
    </row>
    <row r="22" spans="1:26" ht="15">
      <c r="A22" s="20" t="s">
        <v>25</v>
      </c>
      <c r="B22" s="8"/>
      <c r="C22" s="26">
        <v>-1</v>
      </c>
      <c r="D22" s="27">
        <v>0</v>
      </c>
      <c r="E22" s="8"/>
      <c r="F22" s="26">
        <v>2</v>
      </c>
      <c r="G22" s="27">
        <v>0</v>
      </c>
      <c r="H22" s="11"/>
      <c r="I22" s="26">
        <f t="shared" si="12"/>
        <v>7</v>
      </c>
      <c r="J22" s="27">
        <f t="shared" si="10"/>
        <v>8</v>
      </c>
      <c r="L22" s="26">
        <f t="shared" si="0"/>
        <v>30900</v>
      </c>
      <c r="M22" s="31">
        <f t="shared" si="1"/>
        <v>19780</v>
      </c>
      <c r="N22" s="31">
        <f t="shared" si="4"/>
        <v>4800</v>
      </c>
      <c r="O22" s="31">
        <f t="shared" si="5"/>
        <v>14980</v>
      </c>
      <c r="P22" s="31">
        <f t="shared" si="2"/>
        <v>11120</v>
      </c>
      <c r="Q22" s="27">
        <f t="shared" si="6"/>
        <v>121650</v>
      </c>
      <c r="S22" s="26" t="str">
        <f t="shared" si="3"/>
        <v>Not</v>
      </c>
      <c r="T22" s="31">
        <f t="shared" si="11"/>
        <v>3090</v>
      </c>
      <c r="U22" s="31">
        <f t="shared" si="7"/>
        <v>3090</v>
      </c>
      <c r="V22" s="31">
        <f t="shared" si="8"/>
        <v>4200</v>
      </c>
      <c r="W22" s="41">
        <f t="shared" si="9"/>
        <v>2.5000000000000001E-2</v>
      </c>
      <c r="X22" s="4"/>
    </row>
    <row r="23" spans="1:26" ht="15">
      <c r="A23" s="20" t="s">
        <v>26</v>
      </c>
      <c r="B23" s="8"/>
      <c r="C23" s="26">
        <v>0</v>
      </c>
      <c r="D23" s="27">
        <v>-1</v>
      </c>
      <c r="E23" s="8"/>
      <c r="F23" s="26">
        <v>0</v>
      </c>
      <c r="G23" s="27">
        <v>-1</v>
      </c>
      <c r="H23" s="11"/>
      <c r="I23" s="26">
        <f t="shared" si="12"/>
        <v>7</v>
      </c>
      <c r="J23" s="27">
        <f t="shared" si="10"/>
        <v>8</v>
      </c>
      <c r="L23" s="26">
        <f t="shared" si="0"/>
        <v>31670</v>
      </c>
      <c r="M23" s="31">
        <f t="shared" si="1"/>
        <v>14980</v>
      </c>
      <c r="N23" s="31">
        <f t="shared" si="4"/>
        <v>0</v>
      </c>
      <c r="O23" s="31">
        <f t="shared" si="5"/>
        <v>14980</v>
      </c>
      <c r="P23" s="31">
        <f t="shared" si="2"/>
        <v>16690</v>
      </c>
      <c r="Q23" s="27">
        <f t="shared" si="6"/>
        <v>138340</v>
      </c>
      <c r="S23" s="26" t="str">
        <f t="shared" si="3"/>
        <v>Not</v>
      </c>
      <c r="T23" s="31">
        <f t="shared" si="11"/>
        <v>3167</v>
      </c>
      <c r="U23" s="31">
        <f t="shared" si="7"/>
        <v>3167</v>
      </c>
      <c r="V23" s="31">
        <f t="shared" si="8"/>
        <v>4200</v>
      </c>
      <c r="W23" s="41">
        <f t="shared" si="9"/>
        <v>2.5000000000000001E-2</v>
      </c>
      <c r="X23" s="4"/>
      <c r="Y23" s="4"/>
    </row>
    <row r="24" spans="1:26" ht="15">
      <c r="A24" s="20" t="s">
        <v>27</v>
      </c>
      <c r="B24" s="8"/>
      <c r="C24" s="26">
        <v>1</v>
      </c>
      <c r="D24" s="27">
        <v>-2</v>
      </c>
      <c r="E24" s="8"/>
      <c r="F24" s="26">
        <v>2</v>
      </c>
      <c r="G24" s="27">
        <v>2</v>
      </c>
      <c r="H24" s="11"/>
      <c r="I24" s="26">
        <f t="shared" si="12"/>
        <v>9</v>
      </c>
      <c r="J24" s="27">
        <f t="shared" si="10"/>
        <v>8</v>
      </c>
      <c r="L24" s="26">
        <f t="shared" si="0"/>
        <v>32460</v>
      </c>
      <c r="M24" s="31">
        <f t="shared" si="1"/>
        <v>24580</v>
      </c>
      <c r="N24" s="31">
        <f t="shared" si="4"/>
        <v>6600</v>
      </c>
      <c r="O24" s="31">
        <f t="shared" si="5"/>
        <v>17980</v>
      </c>
      <c r="P24" s="31">
        <f t="shared" si="2"/>
        <v>7880</v>
      </c>
      <c r="Q24" s="27">
        <f t="shared" si="6"/>
        <v>146220</v>
      </c>
      <c r="S24" s="26" t="str">
        <f t="shared" si="3"/>
        <v>Not</v>
      </c>
      <c r="T24" s="31">
        <f t="shared" si="11"/>
        <v>3246</v>
      </c>
      <c r="U24" s="31">
        <f t="shared" si="7"/>
        <v>3246</v>
      </c>
      <c r="V24" s="31">
        <f t="shared" si="8"/>
        <v>5400</v>
      </c>
      <c r="W24" s="41">
        <f t="shared" si="9"/>
        <v>2.5000000000000001E-2</v>
      </c>
      <c r="X24" s="4"/>
    </row>
    <row r="25" spans="1:26" ht="15">
      <c r="A25" s="20" t="s">
        <v>28</v>
      </c>
      <c r="B25" s="8"/>
      <c r="C25" s="26">
        <v>0</v>
      </c>
      <c r="D25" s="27">
        <v>0</v>
      </c>
      <c r="E25" s="8"/>
      <c r="F25" s="26">
        <v>0</v>
      </c>
      <c r="G25" s="27">
        <v>2</v>
      </c>
      <c r="H25" s="11"/>
      <c r="I25" s="26">
        <f t="shared" si="12"/>
        <v>7</v>
      </c>
      <c r="J25" s="27">
        <f t="shared" si="10"/>
        <v>7</v>
      </c>
      <c r="L25" s="26">
        <f t="shared" si="0"/>
        <v>33270</v>
      </c>
      <c r="M25" s="31">
        <f t="shared" si="1"/>
        <v>16220</v>
      </c>
      <c r="N25" s="31">
        <f t="shared" si="4"/>
        <v>1800</v>
      </c>
      <c r="O25" s="31">
        <f t="shared" si="5"/>
        <v>14420</v>
      </c>
      <c r="P25" s="31">
        <f t="shared" si="2"/>
        <v>17050</v>
      </c>
      <c r="Q25" s="27">
        <f t="shared" si="6"/>
        <v>163270</v>
      </c>
      <c r="S25" s="26" t="str">
        <f t="shared" si="3"/>
        <v>Not</v>
      </c>
      <c r="T25" s="31">
        <f t="shared" si="11"/>
        <v>3327</v>
      </c>
      <c r="U25" s="31">
        <f t="shared" si="7"/>
        <v>3327</v>
      </c>
      <c r="V25" s="31">
        <f t="shared" si="8"/>
        <v>4200</v>
      </c>
      <c r="W25" s="41">
        <f t="shared" si="9"/>
        <v>2.5000000000000001E-2</v>
      </c>
      <c r="X25" s="4"/>
    </row>
    <row r="26" spans="1:26" ht="15">
      <c r="A26" s="20" t="s">
        <v>29</v>
      </c>
      <c r="B26" s="8"/>
      <c r="C26" s="26">
        <v>2</v>
      </c>
      <c r="D26" s="27">
        <v>0</v>
      </c>
      <c r="E26" s="8"/>
      <c r="F26" s="26">
        <v>-2</v>
      </c>
      <c r="G26" s="27">
        <v>-1</v>
      </c>
      <c r="H26" s="11"/>
      <c r="I26" s="26">
        <f t="shared" si="12"/>
        <v>5</v>
      </c>
      <c r="J26" s="27">
        <f t="shared" si="10"/>
        <v>9</v>
      </c>
      <c r="L26" s="26">
        <f t="shared" si="0"/>
        <v>30000</v>
      </c>
      <c r="M26" s="31">
        <f t="shared" si="1"/>
        <v>12540</v>
      </c>
      <c r="N26" s="31">
        <f t="shared" si="4"/>
        <v>0</v>
      </c>
      <c r="O26" s="31">
        <f t="shared" si="5"/>
        <v>12540</v>
      </c>
      <c r="P26" s="31">
        <f t="shared" si="2"/>
        <v>17460</v>
      </c>
      <c r="Q26" s="27">
        <f t="shared" si="6"/>
        <v>180730</v>
      </c>
      <c r="S26" s="26" t="str">
        <f t="shared" si="3"/>
        <v>Order</v>
      </c>
      <c r="T26" s="31">
        <f t="shared" si="11"/>
        <v>3410</v>
      </c>
      <c r="U26" s="31">
        <f t="shared" si="7"/>
        <v>3000</v>
      </c>
      <c r="V26" s="31">
        <f t="shared" si="8"/>
        <v>3000</v>
      </c>
      <c r="W26" s="41">
        <f t="shared" si="9"/>
        <v>-3.6499999999999991E-2</v>
      </c>
      <c r="X26" s="4"/>
    </row>
    <row r="27" spans="1:26" ht="15">
      <c r="A27" s="20" t="s">
        <v>30</v>
      </c>
      <c r="B27" s="8"/>
      <c r="C27" s="26">
        <v>0</v>
      </c>
      <c r="D27" s="27">
        <v>-2</v>
      </c>
      <c r="E27" s="8"/>
      <c r="F27" s="26">
        <v>0</v>
      </c>
      <c r="G27" s="27">
        <v>1</v>
      </c>
      <c r="H27" s="11"/>
      <c r="I27" s="26">
        <f t="shared" si="12"/>
        <v>7</v>
      </c>
      <c r="J27" s="27">
        <f t="shared" si="10"/>
        <v>11</v>
      </c>
      <c r="L27" s="26">
        <f t="shared" si="0"/>
        <v>32850</v>
      </c>
      <c r="M27" s="31">
        <f t="shared" si="1"/>
        <v>17560</v>
      </c>
      <c r="N27" s="31">
        <f t="shared" si="4"/>
        <v>900</v>
      </c>
      <c r="O27" s="31">
        <f t="shared" si="5"/>
        <v>16660</v>
      </c>
      <c r="P27" s="31">
        <f t="shared" si="2"/>
        <v>15290</v>
      </c>
      <c r="Q27" s="27">
        <f t="shared" si="6"/>
        <v>196020</v>
      </c>
      <c r="S27" s="26" t="str">
        <f t="shared" si="3"/>
        <v>Not</v>
      </c>
      <c r="T27" s="31">
        <f t="shared" si="11"/>
        <v>3285</v>
      </c>
      <c r="U27" s="31">
        <f t="shared" si="7"/>
        <v>3285</v>
      </c>
      <c r="V27" s="31">
        <f t="shared" si="8"/>
        <v>4200</v>
      </c>
      <c r="W27" s="41">
        <f t="shared" si="9"/>
        <v>2.5000000000000001E-2</v>
      </c>
      <c r="X27" s="4"/>
    </row>
    <row r="28" spans="1:26" ht="15">
      <c r="A28" s="20" t="s">
        <v>31</v>
      </c>
      <c r="B28" s="8"/>
      <c r="C28" s="26">
        <v>0</v>
      </c>
      <c r="D28" s="27">
        <v>-2</v>
      </c>
      <c r="E28" s="8"/>
      <c r="F28" s="26">
        <v>0</v>
      </c>
      <c r="G28" s="27">
        <v>0</v>
      </c>
      <c r="H28" s="11"/>
      <c r="I28" s="26">
        <f t="shared" si="12"/>
        <v>7</v>
      </c>
      <c r="J28" s="27">
        <f t="shared" si="10"/>
        <v>10</v>
      </c>
      <c r="L28" s="26">
        <f t="shared" si="0"/>
        <v>33670</v>
      </c>
      <c r="M28" s="31">
        <f t="shared" si="1"/>
        <v>16100</v>
      </c>
      <c r="N28" s="31">
        <f t="shared" si="4"/>
        <v>0</v>
      </c>
      <c r="O28" s="31">
        <f t="shared" si="5"/>
        <v>16100</v>
      </c>
      <c r="P28" s="31">
        <f t="shared" si="2"/>
        <v>17570</v>
      </c>
      <c r="Q28" s="27">
        <f t="shared" si="6"/>
        <v>213590</v>
      </c>
      <c r="S28" s="26" t="str">
        <f t="shared" si="3"/>
        <v>Not</v>
      </c>
      <c r="T28" s="31">
        <f t="shared" si="11"/>
        <v>3367</v>
      </c>
      <c r="U28" s="31">
        <f t="shared" si="7"/>
        <v>3367</v>
      </c>
      <c r="V28" s="31">
        <f t="shared" si="8"/>
        <v>4200</v>
      </c>
      <c r="W28" s="41">
        <f t="shared" si="9"/>
        <v>2.5000000000000001E-2</v>
      </c>
      <c r="X28" s="4"/>
    </row>
    <row r="29" spans="1:26" ht="15">
      <c r="A29" s="20" t="s">
        <v>32</v>
      </c>
      <c r="B29" s="8"/>
      <c r="C29" s="26">
        <v>0</v>
      </c>
      <c r="D29" s="27">
        <v>1</v>
      </c>
      <c r="E29" s="8"/>
      <c r="F29" s="26">
        <v>0</v>
      </c>
      <c r="G29" s="27">
        <v>0</v>
      </c>
      <c r="H29" s="11"/>
      <c r="I29" s="26">
        <f t="shared" si="12"/>
        <v>9</v>
      </c>
      <c r="J29" s="27">
        <f t="shared" si="10"/>
        <v>11</v>
      </c>
      <c r="L29" s="26">
        <f t="shared" si="0"/>
        <v>34510</v>
      </c>
      <c r="M29" s="31">
        <f t="shared" si="1"/>
        <v>19660</v>
      </c>
      <c r="N29" s="31">
        <f t="shared" si="4"/>
        <v>0</v>
      </c>
      <c r="O29" s="31">
        <f t="shared" si="5"/>
        <v>19660</v>
      </c>
      <c r="P29" s="31">
        <f t="shared" si="2"/>
        <v>14850</v>
      </c>
      <c r="Q29" s="27">
        <f t="shared" si="6"/>
        <v>228440</v>
      </c>
      <c r="S29" s="26" t="str">
        <f t="shared" si="3"/>
        <v>Not</v>
      </c>
      <c r="T29" s="31">
        <f t="shared" si="11"/>
        <v>3451</v>
      </c>
      <c r="U29" s="31">
        <f t="shared" si="7"/>
        <v>3451</v>
      </c>
      <c r="V29" s="31">
        <f t="shared" si="8"/>
        <v>5400</v>
      </c>
      <c r="W29" s="41">
        <f t="shared" si="9"/>
        <v>2.5000000000000001E-2</v>
      </c>
      <c r="X29" s="4"/>
    </row>
    <row r="30" spans="1:26" ht="15">
      <c r="A30" s="20" t="s">
        <v>33</v>
      </c>
      <c r="B30" s="8"/>
      <c r="C30" s="26">
        <v>0</v>
      </c>
      <c r="D30" s="27">
        <v>0</v>
      </c>
      <c r="E30" s="8"/>
      <c r="F30" s="26">
        <v>0</v>
      </c>
      <c r="G30" s="27">
        <v>0</v>
      </c>
      <c r="H30" s="11"/>
      <c r="I30" s="26">
        <f t="shared" si="12"/>
        <v>9</v>
      </c>
      <c r="J30" s="27">
        <f t="shared" si="10"/>
        <v>11</v>
      </c>
      <c r="L30" s="26">
        <f t="shared" si="0"/>
        <v>35370</v>
      </c>
      <c r="M30" s="31">
        <f t="shared" si="1"/>
        <v>19660</v>
      </c>
      <c r="N30" s="31">
        <f t="shared" si="4"/>
        <v>0</v>
      </c>
      <c r="O30" s="31">
        <f t="shared" si="5"/>
        <v>19660</v>
      </c>
      <c r="P30" s="31">
        <f t="shared" si="2"/>
        <v>15710</v>
      </c>
      <c r="Q30" s="27">
        <f t="shared" si="6"/>
        <v>244150</v>
      </c>
      <c r="S30" s="26" t="str">
        <f t="shared" si="3"/>
        <v>Not</v>
      </c>
      <c r="T30" s="31">
        <f t="shared" si="11"/>
        <v>3537</v>
      </c>
      <c r="U30" s="31">
        <f t="shared" si="7"/>
        <v>3537</v>
      </c>
      <c r="V30" s="31">
        <f t="shared" si="8"/>
        <v>5400</v>
      </c>
      <c r="W30" s="41">
        <f t="shared" si="9"/>
        <v>2.5000000000000001E-2</v>
      </c>
      <c r="X30" s="4"/>
    </row>
    <row r="31" spans="1:26" ht="15.6" thickBot="1">
      <c r="A31" s="21" t="s">
        <v>34</v>
      </c>
      <c r="B31" s="8"/>
      <c r="C31" s="28">
        <v>0</v>
      </c>
      <c r="D31" s="29">
        <v>0</v>
      </c>
      <c r="E31" s="8"/>
      <c r="F31" s="28">
        <v>0</v>
      </c>
      <c r="G31" s="29">
        <v>0</v>
      </c>
      <c r="H31" s="11"/>
      <c r="I31" s="28">
        <f t="shared" si="12"/>
        <v>7</v>
      </c>
      <c r="J31" s="29">
        <f t="shared" si="10"/>
        <v>11</v>
      </c>
      <c r="L31" s="28">
        <f t="shared" si="0"/>
        <v>36250</v>
      </c>
      <c r="M31" s="32">
        <f t="shared" si="1"/>
        <v>16660</v>
      </c>
      <c r="N31" s="32">
        <f t="shared" si="4"/>
        <v>0</v>
      </c>
      <c r="O31" s="32">
        <f t="shared" si="5"/>
        <v>16660</v>
      </c>
      <c r="P31" s="32">
        <f t="shared" si="2"/>
        <v>19590</v>
      </c>
      <c r="Q31" s="29">
        <f t="shared" si="6"/>
        <v>263740</v>
      </c>
      <c r="S31" s="28" t="str">
        <f t="shared" si="3"/>
        <v>Not</v>
      </c>
      <c r="T31" s="32">
        <f t="shared" si="11"/>
        <v>3625</v>
      </c>
      <c r="U31" s="32">
        <f t="shared" si="7"/>
        <v>3625</v>
      </c>
      <c r="V31" s="32">
        <f t="shared" si="8"/>
        <v>4200</v>
      </c>
      <c r="W31" s="42">
        <f t="shared" si="9"/>
        <v>2.5000000000000001E-2</v>
      </c>
      <c r="X31" s="4"/>
    </row>
    <row r="32" spans="1:26">
      <c r="A32" s="19" t="s">
        <v>35</v>
      </c>
      <c r="B32" s="16"/>
      <c r="C32" s="16"/>
      <c r="D32" s="16"/>
      <c r="E32" s="16"/>
      <c r="F32" s="15"/>
      <c r="G32" s="15"/>
      <c r="H32" s="15"/>
      <c r="I32" s="15"/>
      <c r="J32" s="15"/>
      <c r="K32" s="15"/>
      <c r="L32" s="17">
        <f>AVERAGE(L11:L31)</f>
        <v>28440</v>
      </c>
      <c r="M32" s="17">
        <f>AVERAGE(M11:M31)</f>
        <v>15880.952380952382</v>
      </c>
      <c r="N32" s="17">
        <f>AVERAGE(N11:N31)</f>
        <v>1214.2857142857142</v>
      </c>
      <c r="O32" s="17">
        <f>AVERAGE(O11:O31)</f>
        <v>14666.666666666666</v>
      </c>
      <c r="P32" s="17">
        <f>AVERAGE(P11:P31)</f>
        <v>12559.047619047618</v>
      </c>
      <c r="Q32" s="43"/>
      <c r="R32" s="15"/>
      <c r="S32" s="15"/>
      <c r="T32" s="17">
        <f>AVERAGE(T11:T31)</f>
        <v>3013.3809523809523</v>
      </c>
      <c r="U32" s="17">
        <f>AVERAGE(U11:U31)</f>
        <v>2844</v>
      </c>
      <c r="V32" s="45">
        <f>AVERAGE(V11:V31)</f>
        <v>4133.333333333333</v>
      </c>
      <c r="W32" s="44">
        <f>AVERAGE(W11:W31)</f>
        <v>-1.5976190476190441E-3</v>
      </c>
    </row>
    <row r="33" spans="1:24" ht="15.6">
      <c r="A33" s="3"/>
      <c r="B33" s="3"/>
      <c r="C33" s="3"/>
      <c r="D33" s="3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4"/>
    </row>
  </sheetData>
  <mergeCells count="25">
    <mergeCell ref="I3:J3"/>
    <mergeCell ref="I4:J4"/>
    <mergeCell ref="E3:G3"/>
    <mergeCell ref="E4:G4"/>
    <mergeCell ref="Q3:R3"/>
    <mergeCell ref="L4:M4"/>
    <mergeCell ref="Q4:R4"/>
    <mergeCell ref="O3:P3"/>
    <mergeCell ref="O4:P4"/>
    <mergeCell ref="L3:M3"/>
    <mergeCell ref="A9:A10"/>
    <mergeCell ref="W9:W10"/>
    <mergeCell ref="V9:V10"/>
    <mergeCell ref="U9:U10"/>
    <mergeCell ref="T9:T10"/>
    <mergeCell ref="S9:S10"/>
    <mergeCell ref="P9:P10"/>
    <mergeCell ref="O9:O10"/>
    <mergeCell ref="N9:N10"/>
    <mergeCell ref="M9:M10"/>
    <mergeCell ref="L9:L10"/>
    <mergeCell ref="F9:G9"/>
    <mergeCell ref="C9:D9"/>
    <mergeCell ref="I9:J9"/>
    <mergeCell ref="Q9:Q10"/>
  </mergeCells>
  <conditionalFormatting sqref="S11:S31">
    <cfRule type="containsText" dxfId="0" priority="1" operator="containsText" text="Order">
      <formula>NOT(ISERROR(SEARCH("Order",S11)))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estProfit">
                <anchor moveWithCells="1" sizeWithCells="1">
                  <from>
                    <xdr:col>18</xdr:col>
                    <xdr:colOff>175260</xdr:colOff>
                    <xdr:row>0</xdr:row>
                    <xdr:rowOff>312420</xdr:rowOff>
                  </from>
                  <to>
                    <xdr:col>21</xdr:col>
                    <xdr:colOff>609600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eQuarter0">
                <anchor moveWithCells="1" sizeWithCells="1">
                  <from>
                    <xdr:col>9</xdr:col>
                    <xdr:colOff>175260</xdr:colOff>
                    <xdr:row>4</xdr:row>
                    <xdr:rowOff>205740</xdr:rowOff>
                  </from>
                  <to>
                    <xdr:col>12</xdr:col>
                    <xdr:colOff>640080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eQuarterN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">
                <anchor moveWithCells="1" sizeWithCells="1">
                  <from>
                    <xdr:col>18</xdr:col>
                    <xdr:colOff>198120</xdr:colOff>
                    <xdr:row>4</xdr:row>
                    <xdr:rowOff>137160</xdr:rowOff>
                  </from>
                  <to>
                    <xdr:col>21</xdr:col>
                    <xdr:colOff>609600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Validation.Validate">
                <anchor moveWithCells="1" sizeWithCells="1">
                  <from>
                    <xdr:col>3</xdr:col>
                    <xdr:colOff>419100</xdr:colOff>
                    <xdr:row>4</xdr:row>
                    <xdr:rowOff>205740</xdr:rowOff>
                  </from>
                  <to>
                    <xdr:col>9</xdr:col>
                    <xdr:colOff>7620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eOptimum">
                <anchor moveWithCells="1" sizeWithCells="1">
                  <from>
                    <xdr:col>18</xdr:col>
                    <xdr:colOff>182880</xdr:colOff>
                    <xdr:row>2</xdr:row>
                    <xdr:rowOff>243840</xdr:rowOff>
                  </from>
                  <to>
                    <xdr:col>21</xdr:col>
                    <xdr:colOff>617220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setColour">
                <anchor moveWithCells="1" sizeWithCells="1">
                  <from>
                    <xdr:col>15</xdr:col>
                    <xdr:colOff>121920</xdr:colOff>
                    <xdr:row>5</xdr:row>
                    <xdr:rowOff>7620</xdr:rowOff>
                  </from>
                  <to>
                    <xdr:col>16</xdr:col>
                    <xdr:colOff>1363980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EA8F-0FDF-4E84-B4A8-1B3315ED96AD}">
  <sheetPr codeName="Sheet7"/>
  <dimension ref="A1:T75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" sqref="A6"/>
    </sheetView>
  </sheetViews>
  <sheetFormatPr defaultRowHeight="14.4"/>
  <cols>
    <col min="1" max="1" width="9.21875" bestFit="1" customWidth="1"/>
    <col min="2" max="2" width="1.77734375" customWidth="1"/>
    <col min="3" max="3" width="10" bestFit="1" customWidth="1"/>
    <col min="4" max="4" width="7.109375" bestFit="1" customWidth="1"/>
    <col min="5" max="5" width="1.77734375" customWidth="1"/>
    <col min="6" max="7" width="10.33203125" customWidth="1"/>
    <col min="8" max="8" width="1.77734375" customWidth="1"/>
    <col min="9" max="9" width="10.88671875" bestFit="1" customWidth="1"/>
    <col min="10" max="10" width="12" bestFit="1" customWidth="1"/>
    <col min="11" max="11" width="12.44140625" bestFit="1" customWidth="1"/>
    <col min="12" max="12" width="15.44140625" bestFit="1" customWidth="1"/>
    <col min="13" max="13" width="9.44140625" bestFit="1" customWidth="1"/>
    <col min="14" max="14" width="20.109375" bestFit="1" customWidth="1"/>
  </cols>
  <sheetData>
    <row r="1" spans="1:20" s="9" customFormat="1" ht="15.6">
      <c r="A1" s="46" t="s">
        <v>1</v>
      </c>
      <c r="B1" s="7"/>
      <c r="C1" s="54" t="s">
        <v>53</v>
      </c>
      <c r="D1" s="55"/>
      <c r="E1" s="7"/>
      <c r="F1" s="54" t="s">
        <v>3</v>
      </c>
      <c r="G1" s="55"/>
      <c r="H1" s="10"/>
      <c r="I1" s="52" t="s">
        <v>4</v>
      </c>
      <c r="J1" s="50" t="s">
        <v>45</v>
      </c>
      <c r="K1" s="50" t="s">
        <v>5</v>
      </c>
      <c r="L1" s="50" t="s">
        <v>6</v>
      </c>
      <c r="M1" s="50" t="s">
        <v>7</v>
      </c>
      <c r="N1" s="48" t="s">
        <v>50</v>
      </c>
      <c r="O1" s="10"/>
      <c r="P1" s="10"/>
      <c r="Q1" s="10"/>
      <c r="R1" s="10"/>
      <c r="S1" s="10"/>
      <c r="T1" s="10"/>
    </row>
    <row r="2" spans="1:20" s="9" customFormat="1" ht="16.2" thickBot="1">
      <c r="A2" s="47"/>
      <c r="B2" s="6"/>
      <c r="C2" s="22" t="s">
        <v>12</v>
      </c>
      <c r="D2" s="23" t="s">
        <v>13</v>
      </c>
      <c r="E2" s="6"/>
      <c r="F2" s="22" t="s">
        <v>12</v>
      </c>
      <c r="G2" s="23" t="s">
        <v>13</v>
      </c>
      <c r="H2" s="10"/>
      <c r="I2" s="53"/>
      <c r="J2" s="51"/>
      <c r="K2" s="51"/>
      <c r="L2" s="51"/>
      <c r="M2" s="51"/>
      <c r="N2" s="49"/>
      <c r="O2" s="10"/>
      <c r="P2" s="10"/>
      <c r="Q2" s="10"/>
      <c r="R2" s="10"/>
      <c r="S2" s="10"/>
      <c r="T2" s="10"/>
    </row>
    <row r="3" spans="1:20" s="9" customFormat="1" thickTop="1">
      <c r="A3" s="20" t="s">
        <v>14</v>
      </c>
      <c r="B3" s="7"/>
      <c r="C3" s="24">
        <f>Model!C11</f>
        <v>5</v>
      </c>
      <c r="D3" s="25">
        <f>Model!D11</f>
        <v>0</v>
      </c>
      <c r="E3" s="7"/>
      <c r="F3" s="24">
        <v>4</v>
      </c>
      <c r="G3" s="25">
        <v>2</v>
      </c>
      <c r="H3" s="10"/>
      <c r="I3" s="24">
        <f>Model!U11*Model!$Z$17</f>
        <v>0</v>
      </c>
      <c r="J3" s="30">
        <f t="shared" ref="J3:J23" si="0">K3+L3</f>
        <v>0</v>
      </c>
      <c r="K3" s="30">
        <v>0</v>
      </c>
      <c r="L3" s="30">
        <v>0</v>
      </c>
      <c r="M3" s="30">
        <f t="shared" ref="M3:M23" si="1">I3-J3</f>
        <v>0</v>
      </c>
      <c r="N3" s="25">
        <f>M3</f>
        <v>0</v>
      </c>
      <c r="O3" s="10"/>
      <c r="P3" s="10"/>
      <c r="Q3" s="10"/>
      <c r="R3" s="10"/>
      <c r="S3" s="10"/>
      <c r="T3" s="10"/>
    </row>
    <row r="4" spans="1:20" s="9" customFormat="1" ht="13.8">
      <c r="A4" s="20" t="s">
        <v>15</v>
      </c>
      <c r="B4" s="7"/>
      <c r="C4" s="26">
        <f>Model!C12</f>
        <v>-1</v>
      </c>
      <c r="D4" s="27">
        <f>Model!D12</f>
        <v>1</v>
      </c>
      <c r="E4" s="7"/>
      <c r="F4" s="26">
        <v>4</v>
      </c>
      <c r="G4" s="27">
        <v>2</v>
      </c>
      <c r="H4" s="10"/>
      <c r="I4" s="26">
        <f>Model!U12*Model!$Z$17</f>
        <v>24000</v>
      </c>
      <c r="J4" s="31">
        <f t="shared" si="0"/>
        <v>19120</v>
      </c>
      <c r="K4" s="31">
        <f>IF(C3*Model!$Z$13+D3*Model!$Z$14&gt;0,C3*Model!$Z$13+D3*Model!$Z$14,0)</f>
        <v>12000</v>
      </c>
      <c r="L4" s="31">
        <f>IF(F4*Model!$Z$15+G4*Model!$Z$16&gt;0,F4*Model!$Z$15+G4*Model!$Z$16,0)</f>
        <v>7120</v>
      </c>
      <c r="M4" s="31">
        <f t="shared" si="1"/>
        <v>4880</v>
      </c>
      <c r="N4" s="27">
        <f t="shared" ref="N4:N23" si="2">N3+M4</f>
        <v>4880</v>
      </c>
      <c r="O4" s="10"/>
      <c r="P4" s="10"/>
      <c r="Q4" s="10"/>
      <c r="R4" s="10"/>
      <c r="S4" s="10"/>
      <c r="T4" s="10"/>
    </row>
    <row r="5" spans="1:20" s="9" customFormat="1" ht="13.8">
      <c r="A5" s="20" t="s">
        <v>16</v>
      </c>
      <c r="B5" s="7"/>
      <c r="C5" s="26">
        <f>Model!C13</f>
        <v>2</v>
      </c>
      <c r="D5" s="27">
        <f>Model!D13</f>
        <v>-1</v>
      </c>
      <c r="E5" s="7"/>
      <c r="F5" s="26">
        <v>4</v>
      </c>
      <c r="G5" s="27">
        <f t="shared" ref="G5:G23" si="3">IF(D3+G4&gt;0,D3+G4,0)</f>
        <v>2</v>
      </c>
      <c r="H5" s="10"/>
      <c r="I5" s="26">
        <f>Model!U13*Model!$Z$17</f>
        <v>24000</v>
      </c>
      <c r="J5" s="31">
        <f t="shared" si="0"/>
        <v>7120</v>
      </c>
      <c r="K5" s="31">
        <f>IF(C4*Model!$Z$13+D4*Model!$Z$14&gt;0,C4*Model!$Z$13+D4*Model!$Z$14,0)</f>
        <v>0</v>
      </c>
      <c r="L5" s="31">
        <f>IF(F5*Model!$Z$15+G5*Model!$Z$16&gt;0,F5*Model!$Z$15+G5*Model!$Z$16,0)</f>
        <v>7120</v>
      </c>
      <c r="M5" s="31">
        <f t="shared" si="1"/>
        <v>16880</v>
      </c>
      <c r="N5" s="27">
        <f t="shared" si="2"/>
        <v>21760</v>
      </c>
      <c r="O5" s="10"/>
      <c r="P5" s="10"/>
      <c r="Q5" s="10"/>
      <c r="R5" s="10"/>
      <c r="S5" s="10"/>
      <c r="T5" s="10"/>
    </row>
    <row r="6" spans="1:20" s="9" customFormat="1" ht="13.8">
      <c r="A6" s="20" t="s">
        <v>17</v>
      </c>
      <c r="B6" s="7"/>
      <c r="C6" s="26">
        <f>Model!C14</f>
        <v>-2</v>
      </c>
      <c r="D6" s="27">
        <f>Model!D14</f>
        <v>2</v>
      </c>
      <c r="E6" s="7"/>
      <c r="F6" s="26">
        <v>4</v>
      </c>
      <c r="G6" s="27">
        <f t="shared" si="3"/>
        <v>3</v>
      </c>
      <c r="H6" s="10"/>
      <c r="I6" s="26">
        <f>Model!U14*Model!$Z$17</f>
        <v>24000</v>
      </c>
      <c r="J6" s="31">
        <f t="shared" si="0"/>
        <v>11580</v>
      </c>
      <c r="K6" s="31">
        <f>IF(C5*Model!$Z$13+D5*Model!$Z$14&gt;0,C5*Model!$Z$13+D5*Model!$Z$14,0)</f>
        <v>3900</v>
      </c>
      <c r="L6" s="31">
        <f>IF(F6*Model!$Z$15+G6*Model!$Z$16&gt;0,F6*Model!$Z$15+G6*Model!$Z$16,0)</f>
        <v>7680</v>
      </c>
      <c r="M6" s="31">
        <f t="shared" si="1"/>
        <v>12420</v>
      </c>
      <c r="N6" s="27">
        <f t="shared" si="2"/>
        <v>34180</v>
      </c>
      <c r="O6" s="10"/>
      <c r="P6" s="10"/>
      <c r="Q6" s="10"/>
      <c r="R6" s="10"/>
      <c r="S6" s="10"/>
      <c r="T6" s="10"/>
    </row>
    <row r="7" spans="1:20" s="9" customFormat="1" ht="13.8">
      <c r="A7" s="20" t="s">
        <v>18</v>
      </c>
      <c r="B7" s="7"/>
      <c r="C7" s="26">
        <f>Model!C15</f>
        <v>-2</v>
      </c>
      <c r="D7" s="27">
        <f>Model!D15</f>
        <v>-2</v>
      </c>
      <c r="E7" s="7"/>
      <c r="F7" s="26">
        <v>4</v>
      </c>
      <c r="G7" s="27">
        <f t="shared" si="3"/>
        <v>2</v>
      </c>
      <c r="H7" s="10"/>
      <c r="I7" s="26">
        <f>Model!U15*Model!$Z$17</f>
        <v>24000</v>
      </c>
      <c r="J7" s="31">
        <f t="shared" si="0"/>
        <v>7120</v>
      </c>
      <c r="K7" s="31">
        <f>IF(C6*Model!$Z$13+D6*Model!$Z$14&gt;0,C6*Model!$Z$13+D6*Model!$Z$14,0)</f>
        <v>0</v>
      </c>
      <c r="L7" s="31">
        <f>IF(F7*Model!$Z$15+G7*Model!$Z$16&gt;0,F7*Model!$Z$15+G7*Model!$Z$16,0)</f>
        <v>7120</v>
      </c>
      <c r="M7" s="31">
        <f t="shared" si="1"/>
        <v>16880</v>
      </c>
      <c r="N7" s="27">
        <f t="shared" si="2"/>
        <v>51060</v>
      </c>
      <c r="O7" s="10"/>
      <c r="P7" s="10"/>
      <c r="Q7" s="10"/>
      <c r="R7" s="10"/>
      <c r="S7" s="10"/>
      <c r="T7" s="10"/>
    </row>
    <row r="8" spans="1:20" s="9" customFormat="1" ht="13.8">
      <c r="A8" s="20" t="s">
        <v>19</v>
      </c>
      <c r="B8" s="7"/>
      <c r="C8" s="26">
        <f>Model!C16</f>
        <v>0</v>
      </c>
      <c r="D8" s="27">
        <f>Model!D16</f>
        <v>1</v>
      </c>
      <c r="E8" s="7"/>
      <c r="F8" s="26">
        <f t="shared" ref="F8:F23" si="4">IF(C3+F7&gt;0,C3+F7,0)</f>
        <v>9</v>
      </c>
      <c r="G8" s="27">
        <f t="shared" si="3"/>
        <v>4</v>
      </c>
      <c r="H8" s="10"/>
      <c r="I8" s="26">
        <f>Model!U16*Model!$Z$17</f>
        <v>26670</v>
      </c>
      <c r="J8" s="31">
        <f t="shared" si="0"/>
        <v>15740</v>
      </c>
      <c r="K8" s="31">
        <f>IF(C7*Model!$Z$13+D7*Model!$Z$14&gt;0,C7*Model!$Z$13+D7*Model!$Z$14,0)</f>
        <v>0</v>
      </c>
      <c r="L8" s="31">
        <f>IF(F8*Model!$Z$15+G8*Model!$Z$16&gt;0,F8*Model!$Z$15+G8*Model!$Z$16,0)</f>
        <v>15740</v>
      </c>
      <c r="M8" s="31">
        <f t="shared" si="1"/>
        <v>10930</v>
      </c>
      <c r="N8" s="27">
        <f t="shared" si="2"/>
        <v>61990</v>
      </c>
      <c r="O8" s="10"/>
      <c r="P8" s="10"/>
      <c r="Q8" s="10"/>
      <c r="R8" s="10"/>
      <c r="S8" s="10"/>
      <c r="T8" s="10"/>
    </row>
    <row r="9" spans="1:20" s="9" customFormat="1" ht="13.8">
      <c r="A9" s="20" t="s">
        <v>20</v>
      </c>
      <c r="B9" s="7"/>
      <c r="C9" s="26">
        <f>Model!C17</f>
        <v>0</v>
      </c>
      <c r="D9" s="27">
        <f>Model!D17</f>
        <v>-1</v>
      </c>
      <c r="E9" s="7"/>
      <c r="F9" s="26">
        <f t="shared" si="4"/>
        <v>8</v>
      </c>
      <c r="G9" s="27">
        <f t="shared" si="3"/>
        <v>2</v>
      </c>
      <c r="H9" s="10"/>
      <c r="I9" s="26">
        <f>Model!U17*Model!$Z$17</f>
        <v>27330</v>
      </c>
      <c r="J9" s="31">
        <f t="shared" si="0"/>
        <v>14020</v>
      </c>
      <c r="K9" s="31">
        <f>IF(C8*Model!$Z$13+D8*Model!$Z$14&gt;0,C8*Model!$Z$13+D8*Model!$Z$14,0)</f>
        <v>900</v>
      </c>
      <c r="L9" s="31">
        <f>IF(F9*Model!$Z$15+G9*Model!$Z$16&gt;0,F9*Model!$Z$15+G9*Model!$Z$16,0)</f>
        <v>13120</v>
      </c>
      <c r="M9" s="31">
        <f t="shared" si="1"/>
        <v>13310</v>
      </c>
      <c r="N9" s="27">
        <f t="shared" si="2"/>
        <v>75300</v>
      </c>
      <c r="O9" s="10"/>
      <c r="P9" s="10"/>
      <c r="Q9" s="10"/>
      <c r="R9" s="10"/>
      <c r="S9" s="10"/>
      <c r="T9" s="10"/>
    </row>
    <row r="10" spans="1:20" s="9" customFormat="1" ht="13.8">
      <c r="A10" s="20" t="s">
        <v>21</v>
      </c>
      <c r="B10" s="7"/>
      <c r="C10" s="26">
        <f>Model!C18</f>
        <v>1</v>
      </c>
      <c r="D10" s="27">
        <f>Model!D18</f>
        <v>0</v>
      </c>
      <c r="E10" s="7"/>
      <c r="F10" s="26">
        <f t="shared" si="4"/>
        <v>10</v>
      </c>
      <c r="G10" s="27">
        <f t="shared" si="3"/>
        <v>3</v>
      </c>
      <c r="H10" s="10"/>
      <c r="I10" s="26">
        <f>Model!U18*Model!$Z$17</f>
        <v>28010</v>
      </c>
      <c r="J10" s="31">
        <f t="shared" si="0"/>
        <v>16680</v>
      </c>
      <c r="K10" s="31">
        <f>IF(C9*Model!$Z$13+D9*Model!$Z$14&gt;0,C9*Model!$Z$13+D9*Model!$Z$14,0)</f>
        <v>0</v>
      </c>
      <c r="L10" s="31">
        <f>IF(F10*Model!$Z$15+G10*Model!$Z$16&gt;0,F10*Model!$Z$15+G10*Model!$Z$16,0)</f>
        <v>16680</v>
      </c>
      <c r="M10" s="31">
        <f t="shared" si="1"/>
        <v>11330</v>
      </c>
      <c r="N10" s="27">
        <f t="shared" si="2"/>
        <v>86630</v>
      </c>
      <c r="O10" s="10"/>
      <c r="P10" s="10"/>
      <c r="Q10" s="10"/>
      <c r="R10" s="10"/>
      <c r="S10" s="10"/>
      <c r="T10" s="10"/>
    </row>
    <row r="11" spans="1:20" s="9" customFormat="1" ht="13.8">
      <c r="A11" s="20" t="s">
        <v>22</v>
      </c>
      <c r="B11" s="7"/>
      <c r="C11" s="26">
        <f>Model!C19</f>
        <v>2</v>
      </c>
      <c r="D11" s="27">
        <f>Model!D19</f>
        <v>0</v>
      </c>
      <c r="E11" s="7"/>
      <c r="F11" s="26">
        <f t="shared" si="4"/>
        <v>8</v>
      </c>
      <c r="G11" s="27">
        <f t="shared" si="3"/>
        <v>2</v>
      </c>
      <c r="H11" s="10"/>
      <c r="I11" s="26">
        <f>Model!U19*Model!$Z$17</f>
        <v>28710</v>
      </c>
      <c r="J11" s="31">
        <f t="shared" si="0"/>
        <v>15520</v>
      </c>
      <c r="K11" s="31">
        <f>IF(C10*Model!$Z$13+D10*Model!$Z$14&gt;0,C10*Model!$Z$13+D10*Model!$Z$14,0)</f>
        <v>2400</v>
      </c>
      <c r="L11" s="31">
        <f>IF(F11*Model!$Z$15+G11*Model!$Z$16&gt;0,F11*Model!$Z$15+G11*Model!$Z$16,0)</f>
        <v>13120</v>
      </c>
      <c r="M11" s="31">
        <f t="shared" si="1"/>
        <v>13190</v>
      </c>
      <c r="N11" s="27">
        <f t="shared" si="2"/>
        <v>99820</v>
      </c>
      <c r="O11" s="10"/>
      <c r="P11" s="10"/>
      <c r="Q11" s="10"/>
      <c r="R11" s="10"/>
      <c r="S11" s="10"/>
      <c r="T11" s="10"/>
    </row>
    <row r="12" spans="1:20" s="9" customFormat="1" ht="13.8">
      <c r="A12" s="20" t="s">
        <v>23</v>
      </c>
      <c r="B12" s="7"/>
      <c r="C12" s="26">
        <f>Model!C20</f>
        <v>-1</v>
      </c>
      <c r="D12" s="27">
        <f>Model!D20</f>
        <v>-1</v>
      </c>
      <c r="E12" s="7"/>
      <c r="F12" s="26">
        <f t="shared" si="4"/>
        <v>6</v>
      </c>
      <c r="G12" s="27">
        <f t="shared" si="3"/>
        <v>2</v>
      </c>
      <c r="H12" s="10"/>
      <c r="I12" s="26">
        <f>Model!U20*Model!$Z$17</f>
        <v>29420</v>
      </c>
      <c r="J12" s="31">
        <f t="shared" si="0"/>
        <v>14920</v>
      </c>
      <c r="K12" s="31">
        <f>IF(C11*Model!$Z$13+D11*Model!$Z$14&gt;0,C11*Model!$Z$13+D11*Model!$Z$14,0)</f>
        <v>4800</v>
      </c>
      <c r="L12" s="31">
        <f>IF(F12*Model!$Z$15+G12*Model!$Z$16&gt;0,F12*Model!$Z$15+G12*Model!$Z$16,0)</f>
        <v>10120</v>
      </c>
      <c r="M12" s="31">
        <f t="shared" si="1"/>
        <v>14500</v>
      </c>
      <c r="N12" s="27">
        <f t="shared" si="2"/>
        <v>114320</v>
      </c>
      <c r="O12" s="10"/>
      <c r="P12" s="10"/>
      <c r="Q12" s="10"/>
      <c r="R12" s="10"/>
      <c r="S12" s="10"/>
      <c r="T12" s="10"/>
    </row>
    <row r="13" spans="1:20" s="9" customFormat="1" ht="13.8">
      <c r="A13" s="20" t="s">
        <v>24</v>
      </c>
      <c r="B13" s="7"/>
      <c r="C13" s="26">
        <f>Model!C21</f>
        <v>2</v>
      </c>
      <c r="D13" s="27">
        <f>Model!D21</f>
        <v>-1</v>
      </c>
      <c r="E13" s="7"/>
      <c r="F13" s="26">
        <f t="shared" si="4"/>
        <v>6</v>
      </c>
      <c r="G13" s="27">
        <f t="shared" si="3"/>
        <v>2</v>
      </c>
      <c r="H13" s="10"/>
      <c r="I13" s="26">
        <f>Model!U21*Model!$Z$17</f>
        <v>30150</v>
      </c>
      <c r="J13" s="31">
        <f t="shared" si="0"/>
        <v>10120</v>
      </c>
      <c r="K13" s="31">
        <f>IF(C12*Model!$Z$13+D12*Model!$Z$14&gt;0,C12*Model!$Z$13+D12*Model!$Z$14,0)</f>
        <v>0</v>
      </c>
      <c r="L13" s="31">
        <f>IF(F13*Model!$Z$15+G13*Model!$Z$16&gt;0,F13*Model!$Z$15+G13*Model!$Z$16,0)</f>
        <v>10120</v>
      </c>
      <c r="M13" s="31">
        <f t="shared" si="1"/>
        <v>20030</v>
      </c>
      <c r="N13" s="27">
        <f t="shared" si="2"/>
        <v>134350</v>
      </c>
      <c r="O13" s="10"/>
      <c r="P13" s="10"/>
      <c r="Q13" s="10"/>
      <c r="R13" s="10"/>
      <c r="S13" s="10"/>
      <c r="T13" s="10"/>
    </row>
    <row r="14" spans="1:20" s="9" customFormat="1" ht="13.8">
      <c r="A14" s="20" t="s">
        <v>25</v>
      </c>
      <c r="B14" s="7"/>
      <c r="C14" s="26">
        <f>Model!C22</f>
        <v>-1</v>
      </c>
      <c r="D14" s="27">
        <f>Model!D22</f>
        <v>0</v>
      </c>
      <c r="E14" s="7"/>
      <c r="F14" s="26">
        <f t="shared" si="4"/>
        <v>6</v>
      </c>
      <c r="G14" s="27">
        <f t="shared" si="3"/>
        <v>1</v>
      </c>
      <c r="H14" s="10"/>
      <c r="I14" s="26">
        <f>Model!U22*Model!$Z$17</f>
        <v>30900</v>
      </c>
      <c r="J14" s="31">
        <f t="shared" si="0"/>
        <v>13460</v>
      </c>
      <c r="K14" s="31">
        <f>IF(C13*Model!$Z$13+D13*Model!$Z$14&gt;0,C13*Model!$Z$13+D13*Model!$Z$14,0)</f>
        <v>3900</v>
      </c>
      <c r="L14" s="31">
        <f>IF(F14*Model!$Z$15+G14*Model!$Z$16&gt;0,F14*Model!$Z$15+G14*Model!$Z$16,0)</f>
        <v>9560</v>
      </c>
      <c r="M14" s="31">
        <f t="shared" si="1"/>
        <v>17440</v>
      </c>
      <c r="N14" s="27">
        <f t="shared" si="2"/>
        <v>151790</v>
      </c>
      <c r="O14" s="10"/>
      <c r="P14" s="10"/>
      <c r="Q14" s="10"/>
      <c r="R14" s="10"/>
      <c r="S14" s="10"/>
      <c r="T14" s="10"/>
    </row>
    <row r="15" spans="1:20" s="9" customFormat="1" ht="13.8">
      <c r="A15" s="20" t="s">
        <v>26</v>
      </c>
      <c r="B15" s="7"/>
      <c r="C15" s="26">
        <f>Model!C23</f>
        <v>0</v>
      </c>
      <c r="D15" s="27">
        <f>Model!D23</f>
        <v>-1</v>
      </c>
      <c r="E15" s="7"/>
      <c r="F15" s="26">
        <f t="shared" si="4"/>
        <v>7</v>
      </c>
      <c r="G15" s="27">
        <f t="shared" si="3"/>
        <v>0</v>
      </c>
      <c r="H15" s="10"/>
      <c r="I15" s="26">
        <f>Model!U23*Model!$Z$17</f>
        <v>31670</v>
      </c>
      <c r="J15" s="31">
        <f t="shared" si="0"/>
        <v>10500</v>
      </c>
      <c r="K15" s="31">
        <f>IF(C14*Model!$Z$13+D14*Model!$Z$14&gt;0,C14*Model!$Z$13+D14*Model!$Z$14,0)</f>
        <v>0</v>
      </c>
      <c r="L15" s="31">
        <f>IF(F15*Model!$Z$15+G15*Model!$Z$16&gt;0,F15*Model!$Z$15+G15*Model!$Z$16,0)</f>
        <v>10500</v>
      </c>
      <c r="M15" s="31">
        <f t="shared" si="1"/>
        <v>21170</v>
      </c>
      <c r="N15" s="27">
        <f t="shared" si="2"/>
        <v>172960</v>
      </c>
      <c r="O15" s="10"/>
      <c r="P15" s="10"/>
      <c r="Q15" s="10"/>
      <c r="R15" s="10"/>
      <c r="S15" s="10"/>
      <c r="T15" s="10"/>
    </row>
    <row r="16" spans="1:20" s="9" customFormat="1" ht="13.8">
      <c r="A16" s="20" t="s">
        <v>27</v>
      </c>
      <c r="B16" s="7"/>
      <c r="C16" s="26">
        <f>Model!C24</f>
        <v>1</v>
      </c>
      <c r="D16" s="27">
        <f>Model!D24</f>
        <v>-2</v>
      </c>
      <c r="E16" s="7"/>
      <c r="F16" s="26">
        <f t="shared" si="4"/>
        <v>9</v>
      </c>
      <c r="G16" s="27">
        <f t="shared" si="3"/>
        <v>0</v>
      </c>
      <c r="H16" s="10"/>
      <c r="I16" s="26">
        <f>Model!U24*Model!$Z$17</f>
        <v>32460</v>
      </c>
      <c r="J16" s="31">
        <f t="shared" si="0"/>
        <v>13500</v>
      </c>
      <c r="K16" s="31">
        <f>IF(C15*Model!$Z$13+D15*Model!$Z$14&gt;0,C15*Model!$Z$13+D15*Model!$Z$14,0)</f>
        <v>0</v>
      </c>
      <c r="L16" s="31">
        <f>IF(F16*Model!$Z$15+G16*Model!$Z$16&gt;0,F16*Model!$Z$15+G16*Model!$Z$16,0)</f>
        <v>13500</v>
      </c>
      <c r="M16" s="31">
        <f t="shared" si="1"/>
        <v>18960</v>
      </c>
      <c r="N16" s="27">
        <f t="shared" si="2"/>
        <v>191920</v>
      </c>
      <c r="O16" s="10"/>
      <c r="P16" s="10"/>
      <c r="Q16" s="10"/>
      <c r="R16" s="10"/>
      <c r="S16" s="10"/>
      <c r="T16" s="10"/>
    </row>
    <row r="17" spans="1:20" s="9" customFormat="1" ht="13.8">
      <c r="A17" s="20" t="s">
        <v>28</v>
      </c>
      <c r="B17" s="7"/>
      <c r="C17" s="26">
        <f>Model!C25</f>
        <v>0</v>
      </c>
      <c r="D17" s="27">
        <f>Model!D25</f>
        <v>0</v>
      </c>
      <c r="E17" s="7"/>
      <c r="F17" s="26">
        <f t="shared" si="4"/>
        <v>8</v>
      </c>
      <c r="G17" s="27">
        <f t="shared" si="3"/>
        <v>0</v>
      </c>
      <c r="H17" s="10"/>
      <c r="I17" s="26">
        <f>Model!U25*Model!$Z$17</f>
        <v>33270</v>
      </c>
      <c r="J17" s="31">
        <f t="shared" si="0"/>
        <v>12600</v>
      </c>
      <c r="K17" s="31">
        <f>IF(C16*Model!$Z$13+D16*Model!$Z$14&gt;0,C16*Model!$Z$13+D16*Model!$Z$14,0)</f>
        <v>600</v>
      </c>
      <c r="L17" s="31">
        <f>IF(F17*Model!$Z$15+G17*Model!$Z$16&gt;0,F17*Model!$Z$15+G17*Model!$Z$16,0)</f>
        <v>12000</v>
      </c>
      <c r="M17" s="31">
        <f t="shared" si="1"/>
        <v>20670</v>
      </c>
      <c r="N17" s="27">
        <f t="shared" si="2"/>
        <v>212590</v>
      </c>
      <c r="O17" s="10"/>
      <c r="P17" s="10"/>
      <c r="Q17" s="10"/>
      <c r="R17" s="10"/>
      <c r="S17" s="10"/>
      <c r="T17" s="10"/>
    </row>
    <row r="18" spans="1:20" s="9" customFormat="1" ht="13.8">
      <c r="A18" s="20" t="s">
        <v>29</v>
      </c>
      <c r="B18" s="7"/>
      <c r="C18" s="26">
        <f>Model!C26</f>
        <v>2</v>
      </c>
      <c r="D18" s="27">
        <f>Model!D26</f>
        <v>0</v>
      </c>
      <c r="E18" s="7"/>
      <c r="F18" s="26">
        <f t="shared" si="4"/>
        <v>10</v>
      </c>
      <c r="G18" s="27">
        <f t="shared" si="3"/>
        <v>0</v>
      </c>
      <c r="H18" s="10"/>
      <c r="I18" s="26">
        <f>Model!U26*Model!$Z$17</f>
        <v>30000</v>
      </c>
      <c r="J18" s="31">
        <f t="shared" si="0"/>
        <v>15000</v>
      </c>
      <c r="K18" s="31">
        <f>IF(C17*Model!$Z$13+D17*Model!$Z$14&gt;0,C17*Model!$Z$13+D17*Model!$Z$14,0)</f>
        <v>0</v>
      </c>
      <c r="L18" s="31">
        <f>IF(F18*Model!$Z$15+G18*Model!$Z$16&gt;0,F18*Model!$Z$15+G18*Model!$Z$16,0)</f>
        <v>15000</v>
      </c>
      <c r="M18" s="31">
        <f t="shared" si="1"/>
        <v>15000</v>
      </c>
      <c r="N18" s="27">
        <f t="shared" si="2"/>
        <v>227590</v>
      </c>
      <c r="O18" s="10"/>
      <c r="P18" s="10"/>
      <c r="Q18" s="10"/>
      <c r="R18" s="10"/>
      <c r="S18" s="10"/>
      <c r="T18" s="10"/>
    </row>
    <row r="19" spans="1:20" s="9" customFormat="1" ht="13.8">
      <c r="A19" s="20" t="s">
        <v>30</v>
      </c>
      <c r="B19" s="7"/>
      <c r="C19" s="26">
        <f>Model!C27</f>
        <v>0</v>
      </c>
      <c r="D19" s="27">
        <f>Model!D27</f>
        <v>-2</v>
      </c>
      <c r="E19" s="7"/>
      <c r="F19" s="26">
        <f t="shared" si="4"/>
        <v>9</v>
      </c>
      <c r="G19" s="27">
        <f t="shared" si="3"/>
        <v>0</v>
      </c>
      <c r="H19" s="10"/>
      <c r="I19" s="26">
        <f>Model!U27*Model!$Z$17</f>
        <v>32850</v>
      </c>
      <c r="J19" s="31">
        <f t="shared" si="0"/>
        <v>18300</v>
      </c>
      <c r="K19" s="31">
        <f>IF(C18*Model!$Z$13+D18*Model!$Z$14&gt;0,C18*Model!$Z$13+D18*Model!$Z$14,0)</f>
        <v>4800</v>
      </c>
      <c r="L19" s="31">
        <f>IF(F19*Model!$Z$15+G19*Model!$Z$16&gt;0,F19*Model!$Z$15+G19*Model!$Z$16,0)</f>
        <v>13500</v>
      </c>
      <c r="M19" s="31">
        <f t="shared" si="1"/>
        <v>14550</v>
      </c>
      <c r="N19" s="27">
        <f t="shared" si="2"/>
        <v>242140</v>
      </c>
      <c r="O19" s="10"/>
      <c r="P19" s="10"/>
      <c r="Q19" s="10"/>
      <c r="R19" s="10"/>
      <c r="S19" s="10"/>
      <c r="T19" s="10"/>
    </row>
    <row r="20" spans="1:20" s="9" customFormat="1" ht="13.8">
      <c r="A20" s="20" t="s">
        <v>31</v>
      </c>
      <c r="B20" s="7"/>
      <c r="C20" s="26">
        <f>Model!C28</f>
        <v>0</v>
      </c>
      <c r="D20" s="27">
        <f>Model!D28</f>
        <v>-2</v>
      </c>
      <c r="E20" s="7"/>
      <c r="F20" s="26">
        <f t="shared" si="4"/>
        <v>9</v>
      </c>
      <c r="G20" s="27">
        <f t="shared" si="3"/>
        <v>0</v>
      </c>
      <c r="H20" s="10"/>
      <c r="I20" s="26">
        <f>Model!U28*Model!$Z$17</f>
        <v>33670</v>
      </c>
      <c r="J20" s="31">
        <f t="shared" si="0"/>
        <v>13500</v>
      </c>
      <c r="K20" s="31">
        <f>IF(C19*Model!$Z$13+D19*Model!$Z$14&gt;0,C19*Model!$Z$13+D19*Model!$Z$14,0)</f>
        <v>0</v>
      </c>
      <c r="L20" s="31">
        <f>IF(F20*Model!$Z$15+G20*Model!$Z$16&gt;0,F20*Model!$Z$15+G20*Model!$Z$16,0)</f>
        <v>13500</v>
      </c>
      <c r="M20" s="31">
        <f t="shared" si="1"/>
        <v>20170</v>
      </c>
      <c r="N20" s="27">
        <f t="shared" si="2"/>
        <v>262310</v>
      </c>
      <c r="O20" s="10"/>
      <c r="P20" s="10"/>
      <c r="Q20" s="10"/>
      <c r="R20" s="10"/>
      <c r="S20" s="10"/>
      <c r="T20" s="10"/>
    </row>
    <row r="21" spans="1:20" s="9" customFormat="1" ht="13.8">
      <c r="A21" s="20" t="s">
        <v>32</v>
      </c>
      <c r="B21" s="7"/>
      <c r="C21" s="26">
        <f>Model!C29</f>
        <v>0</v>
      </c>
      <c r="D21" s="27">
        <f>Model!D29</f>
        <v>1</v>
      </c>
      <c r="E21" s="7"/>
      <c r="F21" s="26">
        <f t="shared" si="4"/>
        <v>10</v>
      </c>
      <c r="G21" s="27">
        <f t="shared" si="3"/>
        <v>0</v>
      </c>
      <c r="H21" s="10"/>
      <c r="I21" s="26">
        <f>Model!U29*Model!$Z$17</f>
        <v>34510</v>
      </c>
      <c r="J21" s="31">
        <f t="shared" si="0"/>
        <v>15000</v>
      </c>
      <c r="K21" s="31">
        <f>IF(C20*Model!$Z$13+D20*Model!$Z$14&gt;0,C20*Model!$Z$13+D20*Model!$Z$14,0)</f>
        <v>0</v>
      </c>
      <c r="L21" s="31">
        <f>IF(F21*Model!$Z$15+G21*Model!$Z$16&gt;0,F21*Model!$Z$15+G21*Model!$Z$16,0)</f>
        <v>15000</v>
      </c>
      <c r="M21" s="31">
        <f t="shared" si="1"/>
        <v>19510</v>
      </c>
      <c r="N21" s="27">
        <f t="shared" si="2"/>
        <v>281820</v>
      </c>
      <c r="O21" s="10"/>
      <c r="P21" s="10"/>
      <c r="Q21" s="10"/>
      <c r="R21" s="10"/>
      <c r="S21" s="10"/>
      <c r="T21" s="10"/>
    </row>
    <row r="22" spans="1:20" s="9" customFormat="1" ht="13.8">
      <c r="A22" s="20" t="s">
        <v>33</v>
      </c>
      <c r="B22" s="7"/>
      <c r="C22" s="26">
        <f>Model!C30</f>
        <v>0</v>
      </c>
      <c r="D22" s="27">
        <f>Model!D30</f>
        <v>0</v>
      </c>
      <c r="E22" s="7"/>
      <c r="F22" s="26">
        <f t="shared" si="4"/>
        <v>10</v>
      </c>
      <c r="G22" s="27">
        <f t="shared" si="3"/>
        <v>0</v>
      </c>
      <c r="H22" s="10"/>
      <c r="I22" s="26">
        <f>Model!U30*Model!$Z$17</f>
        <v>35370</v>
      </c>
      <c r="J22" s="31">
        <f t="shared" si="0"/>
        <v>15900</v>
      </c>
      <c r="K22" s="31">
        <f>IF(C21*Model!$Z$13+D21*Model!$Z$14&gt;0,C21*Model!$Z$13+D21*Model!$Z$14,0)</f>
        <v>900</v>
      </c>
      <c r="L22" s="31">
        <f>IF(F22*Model!$Z$15+G22*Model!$Z$16&gt;0,F22*Model!$Z$15+G22*Model!$Z$16,0)</f>
        <v>15000</v>
      </c>
      <c r="M22" s="31">
        <f t="shared" si="1"/>
        <v>19470</v>
      </c>
      <c r="N22" s="27">
        <f t="shared" si="2"/>
        <v>301290</v>
      </c>
      <c r="O22" s="10"/>
      <c r="P22" s="10"/>
      <c r="Q22" s="10"/>
      <c r="R22" s="10"/>
      <c r="S22" s="10"/>
      <c r="T22" s="10"/>
    </row>
    <row r="23" spans="1:20" s="9" customFormat="1" thickBot="1">
      <c r="A23" s="21" t="s">
        <v>34</v>
      </c>
      <c r="B23" s="7"/>
      <c r="C23" s="28">
        <f>Model!C31</f>
        <v>0</v>
      </c>
      <c r="D23" s="29">
        <f>Model!D31</f>
        <v>0</v>
      </c>
      <c r="E23" s="7"/>
      <c r="F23" s="28">
        <f t="shared" si="4"/>
        <v>12</v>
      </c>
      <c r="G23" s="29">
        <f t="shared" si="3"/>
        <v>1</v>
      </c>
      <c r="H23" s="10"/>
      <c r="I23" s="28">
        <f>Model!U31*Model!$Z$17</f>
        <v>36250</v>
      </c>
      <c r="J23" s="32">
        <f t="shared" si="0"/>
        <v>18560</v>
      </c>
      <c r="K23" s="32">
        <f>IF(C22*Model!$Z$13+D22*Model!$Z$14&gt;0,C22*Model!$Z$13+D22*Model!$Z$14,0)</f>
        <v>0</v>
      </c>
      <c r="L23" s="32">
        <f>IF(F23*Model!$Z$15+G23*Model!$Z$16&gt;0,F23*Model!$Z$15+G23*Model!$Z$16,0)</f>
        <v>18560</v>
      </c>
      <c r="M23" s="32">
        <f t="shared" si="1"/>
        <v>17690</v>
      </c>
      <c r="N23" s="29">
        <f t="shared" si="2"/>
        <v>318980</v>
      </c>
      <c r="O23" s="10"/>
      <c r="P23" s="10"/>
      <c r="Q23" s="10"/>
      <c r="R23" s="10"/>
      <c r="S23" s="10"/>
      <c r="T23" s="10"/>
    </row>
    <row r="24" spans="1:20" s="9" customFormat="1" ht="13.8">
      <c r="A24" s="19" t="s">
        <v>35</v>
      </c>
      <c r="B24" s="7"/>
      <c r="C24" s="7"/>
      <c r="D24" s="7"/>
      <c r="E24" s="7"/>
      <c r="F24" s="10"/>
      <c r="G24" s="10"/>
      <c r="H24" s="10"/>
      <c r="I24" s="17">
        <f>AVERAGE(I3:I23)</f>
        <v>28440</v>
      </c>
      <c r="J24" s="17">
        <f>AVERAGE(J3:J23)</f>
        <v>13250.476190476191</v>
      </c>
      <c r="K24" s="17">
        <f>AVERAGE(K3:K23)</f>
        <v>1628.5714285714287</v>
      </c>
      <c r="L24" s="17">
        <f>AVERAGE(L3:L23)</f>
        <v>11621.904761904761</v>
      </c>
      <c r="M24" s="17">
        <f>AVERAGE(M3:M23)</f>
        <v>15189.523809523809</v>
      </c>
      <c r="N24" s="43"/>
      <c r="O24" s="10"/>
      <c r="P24" s="10"/>
      <c r="Q24" s="10"/>
      <c r="R24" s="10"/>
      <c r="S24" s="10"/>
      <c r="T24" s="10"/>
    </row>
    <row r="25" spans="1:20" s="9" customFormat="1" ht="13.8">
      <c r="A25" s="7"/>
      <c r="B25" s="7"/>
      <c r="C25" s="7"/>
      <c r="D25" s="7"/>
      <c r="E25" s="7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 s="9" customFormat="1" ht="13.8">
      <c r="B26" s="7"/>
      <c r="C26" s="7" t="s">
        <v>51</v>
      </c>
      <c r="D26" s="7" t="s">
        <v>54</v>
      </c>
      <c r="E26" s="7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 s="9" customFormat="1" ht="13.8">
      <c r="B27" s="7"/>
      <c r="C27" s="7" t="s">
        <v>4</v>
      </c>
      <c r="D27" s="7" t="s">
        <v>55</v>
      </c>
      <c r="E27" s="7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 s="9" customFormat="1" ht="13.8">
      <c r="B28" s="7"/>
      <c r="C28" s="7" t="s">
        <v>45</v>
      </c>
      <c r="D28" s="7" t="s">
        <v>56</v>
      </c>
      <c r="E28" s="7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 s="9" customFormat="1" ht="13.8">
      <c r="B29" s="7"/>
      <c r="C29" s="7" t="s">
        <v>7</v>
      </c>
      <c r="D29" s="7" t="s">
        <v>57</v>
      </c>
      <c r="E29" s="7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 s="9" customFormat="1" ht="13.8">
      <c r="A30" s="7"/>
      <c r="B30" s="7"/>
      <c r="C30" s="7"/>
      <c r="D30" s="7"/>
      <c r="E30" s="7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 s="9" customFormat="1" ht="13.8">
      <c r="A31" s="7"/>
      <c r="B31" s="7"/>
      <c r="C31" s="7"/>
      <c r="D31" s="7"/>
      <c r="E31" s="7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 s="9" customFormat="1" ht="13.8">
      <c r="A32" s="7"/>
      <c r="B32" s="7"/>
      <c r="C32" s="7"/>
      <c r="D32" s="7"/>
      <c r="E32" s="7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 s="9" customFormat="1" ht="13.8">
      <c r="A33" s="7"/>
      <c r="B33" s="7"/>
      <c r="C33" s="7"/>
      <c r="D33" s="7"/>
      <c r="E33" s="7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 s="9" customFormat="1" ht="13.8">
      <c r="A34" s="7"/>
      <c r="B34" s="7"/>
      <c r="C34" s="7"/>
      <c r="D34" s="7"/>
      <c r="E34" s="7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 s="9" customFormat="1" ht="13.8">
      <c r="A35" s="7"/>
      <c r="B35" s="7"/>
      <c r="C35" s="7"/>
      <c r="D35" s="7"/>
      <c r="E35" s="7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 s="9" customFormat="1" ht="13.8">
      <c r="A36" s="7"/>
      <c r="B36" s="7"/>
      <c r="C36" s="7"/>
      <c r="D36" s="7"/>
      <c r="E36" s="7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 s="9" customFormat="1" ht="13.8">
      <c r="A37" s="7"/>
      <c r="B37" s="7"/>
      <c r="C37" s="7"/>
      <c r="D37" s="7"/>
      <c r="E37" s="7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 s="9" customFormat="1" ht="13.8">
      <c r="A38" s="7"/>
      <c r="B38" s="7"/>
      <c r="C38" s="7"/>
      <c r="D38" s="7"/>
      <c r="E38" s="7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 s="9" customFormat="1" ht="13.8">
      <c r="A39" s="7"/>
      <c r="B39" s="7"/>
      <c r="C39" s="7"/>
      <c r="D39" s="7"/>
      <c r="E39" s="7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 s="9" customFormat="1" ht="13.8">
      <c r="A40" s="7"/>
      <c r="B40" s="7"/>
      <c r="C40" s="7"/>
      <c r="D40" s="7"/>
      <c r="E40" s="7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 s="9" customFormat="1" ht="13.8">
      <c r="A41" s="7"/>
      <c r="B41" s="7"/>
      <c r="C41" s="7"/>
      <c r="D41" s="7"/>
      <c r="E41" s="7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 s="9" customFormat="1" ht="13.8">
      <c r="A42" s="7"/>
      <c r="B42" s="7"/>
      <c r="C42" s="7"/>
      <c r="D42" s="7"/>
      <c r="E42" s="7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 s="9" customFormat="1" ht="13.8">
      <c r="A43" s="7"/>
      <c r="B43" s="7"/>
      <c r="C43" s="7"/>
      <c r="D43" s="7"/>
      <c r="E43" s="7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 s="9" customFormat="1" ht="13.8">
      <c r="A44" s="7"/>
      <c r="B44" s="7"/>
      <c r="C44" s="7"/>
      <c r="D44" s="7"/>
      <c r="E44" s="7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 s="9" customFormat="1" ht="13.8">
      <c r="A45" s="7"/>
      <c r="B45" s="7"/>
      <c r="C45" s="7"/>
      <c r="D45" s="7"/>
      <c r="E45" s="7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 s="9" customFormat="1" ht="13.8">
      <c r="A46" s="7"/>
      <c r="B46" s="7"/>
      <c r="C46" s="7"/>
      <c r="D46" s="7"/>
      <c r="E46" s="7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 s="9" customFormat="1" ht="13.8">
      <c r="A47" s="7"/>
      <c r="B47" s="7"/>
      <c r="C47" s="7"/>
      <c r="D47" s="7"/>
      <c r="E47" s="7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 s="9" customFormat="1" ht="13.8">
      <c r="A48" s="7"/>
      <c r="B48" s="7"/>
      <c r="C48" s="7"/>
      <c r="D48" s="7"/>
      <c r="E48" s="7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 s="9" customFormat="1" ht="13.8">
      <c r="A49" s="7"/>
      <c r="B49" s="7"/>
      <c r="C49" s="7"/>
      <c r="D49" s="7"/>
      <c r="E49" s="7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 s="9" customFormat="1" ht="13.8">
      <c r="A50" s="7"/>
      <c r="B50" s="7"/>
      <c r="C50" s="7"/>
      <c r="D50" s="7"/>
      <c r="E50" s="7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 s="9" customFormat="1" ht="13.8">
      <c r="A51" s="7"/>
      <c r="B51" s="7"/>
      <c r="C51" s="7"/>
      <c r="D51" s="7"/>
      <c r="E51" s="7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 s="9" customFormat="1" ht="13.8">
      <c r="A52" s="7"/>
      <c r="B52" s="7"/>
      <c r="C52" s="7"/>
      <c r="D52" s="7"/>
      <c r="E52" s="7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 s="9" customFormat="1" ht="13.8">
      <c r="A53" s="7"/>
      <c r="B53" s="7"/>
      <c r="C53" s="7"/>
      <c r="D53" s="7"/>
      <c r="E53" s="7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 s="9" customFormat="1" ht="13.8">
      <c r="A54" s="7"/>
      <c r="B54" s="7"/>
      <c r="C54" s="7"/>
      <c r="D54" s="7"/>
      <c r="E54" s="7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 s="9" customFormat="1" ht="13.8">
      <c r="A55" s="7"/>
      <c r="B55" s="7"/>
      <c r="C55" s="7"/>
      <c r="D55" s="7"/>
      <c r="E55" s="7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 s="9" customFormat="1" ht="13.8">
      <c r="A56" s="7"/>
      <c r="B56" s="7"/>
      <c r="C56" s="7"/>
      <c r="D56" s="7"/>
      <c r="E56" s="7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 s="9" customFormat="1" ht="13.8">
      <c r="A57" s="7"/>
      <c r="B57" s="7"/>
      <c r="C57" s="7"/>
      <c r="D57" s="7"/>
      <c r="E57" s="7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 s="9" customFormat="1" ht="13.8">
      <c r="A58" s="7"/>
      <c r="B58" s="7"/>
      <c r="C58" s="7"/>
      <c r="D58" s="7"/>
      <c r="E58" s="7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 s="9" customFormat="1" ht="13.8">
      <c r="A59" s="7"/>
      <c r="B59" s="7"/>
      <c r="C59" s="7"/>
      <c r="D59" s="7"/>
      <c r="E59" s="7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 s="9" customFormat="1" ht="13.8">
      <c r="A60" s="7"/>
      <c r="B60" s="7"/>
      <c r="C60" s="7"/>
      <c r="D60" s="7"/>
      <c r="E60" s="7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 s="9" customFormat="1" ht="13.8">
      <c r="A61" s="7"/>
      <c r="B61" s="7"/>
      <c r="C61" s="7"/>
      <c r="D61" s="7"/>
      <c r="E61" s="7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 s="9" customFormat="1" ht="13.8">
      <c r="A62" s="7"/>
      <c r="B62" s="7"/>
      <c r="C62" s="7"/>
      <c r="D62" s="7"/>
      <c r="E62" s="7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 s="9" customFormat="1" ht="13.8">
      <c r="A63" s="7"/>
      <c r="B63" s="7"/>
      <c r="C63" s="7"/>
      <c r="D63" s="7"/>
      <c r="E63" s="7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 s="9" customFormat="1" ht="13.8">
      <c r="A64" s="7"/>
      <c r="B64" s="7"/>
      <c r="C64" s="7"/>
      <c r="D64" s="7"/>
      <c r="E64" s="7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 s="9" customFormat="1" ht="13.8">
      <c r="A65" s="7"/>
      <c r="B65" s="7"/>
      <c r="C65" s="7"/>
      <c r="D65" s="7"/>
      <c r="E65" s="7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 s="9" customFormat="1" ht="13.8">
      <c r="A66" s="7"/>
      <c r="B66" s="7"/>
      <c r="C66" s="7"/>
      <c r="D66" s="7"/>
      <c r="E66" s="7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 s="9" customFormat="1" ht="13.8">
      <c r="A67" s="7"/>
      <c r="B67" s="7"/>
      <c r="C67" s="7"/>
      <c r="D67" s="7"/>
      <c r="E67" s="7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 s="9" customFormat="1" ht="13.8">
      <c r="A68" s="7"/>
      <c r="B68" s="7"/>
      <c r="C68" s="7"/>
      <c r="D68" s="7"/>
      <c r="E68" s="7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 s="9" customFormat="1" ht="13.8">
      <c r="A69" s="7"/>
      <c r="B69" s="7"/>
      <c r="C69" s="7"/>
      <c r="D69" s="7"/>
      <c r="E69" s="7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 s="9" customFormat="1" ht="13.8">
      <c r="A70" s="7"/>
      <c r="B70" s="7"/>
      <c r="C70" s="7"/>
      <c r="D70" s="7"/>
      <c r="E70" s="7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 s="9" customFormat="1" ht="13.8">
      <c r="A71" s="7"/>
      <c r="B71" s="7"/>
      <c r="C71" s="7"/>
      <c r="D71" s="7"/>
      <c r="E71" s="7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 s="9" customFormat="1" ht="13.8">
      <c r="A72" s="7"/>
      <c r="B72" s="7"/>
      <c r="C72" s="7"/>
      <c r="D72" s="7"/>
      <c r="E72" s="7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 s="9" customFormat="1" ht="13.8">
      <c r="A73" s="7"/>
      <c r="B73" s="7"/>
      <c r="C73" s="7"/>
      <c r="D73" s="7"/>
      <c r="E73" s="7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 s="9" customFormat="1" ht="13.8">
      <c r="A74" s="7"/>
      <c r="B74" s="7"/>
      <c r="C74" s="7"/>
      <c r="D74" s="7"/>
      <c r="E74" s="7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 s="9" customFormat="1" ht="13.8">
      <c r="A75" s="7"/>
      <c r="B75" s="7"/>
      <c r="C75" s="7"/>
      <c r="D75" s="7"/>
      <c r="E75" s="7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</sheetData>
  <mergeCells count="9">
    <mergeCell ref="K1:K2"/>
    <mergeCell ref="L1:L2"/>
    <mergeCell ref="M1:M2"/>
    <mergeCell ref="N1:N2"/>
    <mergeCell ref="A1:A2"/>
    <mergeCell ref="C1:D1"/>
    <mergeCell ref="F1:G1"/>
    <mergeCell ref="I1:I2"/>
    <mergeCell ref="J1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artView">
                <anchor moveWithCells="1" sizeWithCells="1">
                  <from>
                    <xdr:col>14</xdr:col>
                    <xdr:colOff>114300</xdr:colOff>
                    <xdr:row>0</xdr:row>
                    <xdr:rowOff>68580</xdr:rowOff>
                  </from>
                  <to>
                    <xdr:col>16</xdr:col>
                    <xdr:colOff>144780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hartCloseLook">
                <anchor moveWithCells="1" sizeWithCells="1">
                  <from>
                    <xdr:col>16</xdr:col>
                    <xdr:colOff>175260</xdr:colOff>
                    <xdr:row>0</xdr:row>
                    <xdr:rowOff>76200</xdr:rowOff>
                  </from>
                  <to>
                    <xdr:col>19</xdr:col>
                    <xdr:colOff>502920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acktoModel">
                <anchor moveWithCells="1" sizeWithCells="1">
                  <from>
                    <xdr:col>19</xdr:col>
                    <xdr:colOff>533400</xdr:colOff>
                    <xdr:row>0</xdr:row>
                    <xdr:rowOff>83820</xdr:rowOff>
                  </from>
                  <to>
                    <xdr:col>21</xdr:col>
                    <xdr:colOff>556260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Model</vt:lpstr>
      <vt:lpstr>Optimal_Plan</vt:lpstr>
      <vt:lpstr>Chart1</vt:lpstr>
      <vt:lpstr>Chart2</vt:lpstr>
      <vt:lpstr>BestPlan</vt:lpstr>
      <vt:lpstr>Optimum</vt:lpstr>
      <vt:lpstr>Order</vt:lpstr>
      <vt:lpstr>Profit</vt:lpstr>
      <vt:lpstr>Try</vt:lpstr>
      <vt:lpstr>Validate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2018-11-27T14:33:56Z</dcterms:created>
  <dcterms:modified xsi:type="dcterms:W3CDTF">2018-12-19T20:02:46Z</dcterms:modified>
</cp:coreProperties>
</file>